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uimiento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<sst xmlns="http://schemas.openxmlformats.org/spreadsheetml/2006/main" count="824" uniqueCount="423">
  <si>
    <t>ID de acción</t>
  </si>
  <si>
    <t>Categoría</t>
  </si>
  <si>
    <t>Título</t>
  </si>
  <si>
    <t>Prioridad</t>
  </si>
  <si>
    <t>Rol sugerido</t>
  </si>
  <si>
    <t>Por qué ahora</t>
  </si>
  <si>
    <t>Siguiente paso recomendado</t>
  </si>
  <si>
    <t>Importe relacionado (MXN)</t>
  </si>
  <si>
    <t>IDs de fuente</t>
  </si>
  <si>
    <t>Evidencia de origen</t>
  </si>
  <si>
    <t>Snapshot de origen</t>
  </si>
  <si>
    <t>Responsable</t>
  </si>
  <si>
    <t>Estado</t>
  </si>
  <si>
    <t>Fecha objetivo</t>
  </si>
  <si>
    <t>Nota de revisión</t>
  </si>
  <si>
    <t>Evidencia del resultado</t>
  </si>
  <si>
    <t>OPS-OVERDUE-AR-04419011d89b</t>
  </si>
  <si>
    <t>overdue_ar</t>
  </si>
  <si>
    <t>Conciliar saldo vencido · INV-H090</t>
  </si>
  <si>
    <t>P1</t>
  </si>
  <si>
    <t>Administración</t>
  </si>
  <si>
    <t>Saldo positivo conciliado de 45000 centavos; 39 días calendario desde vencimiento.</t>
  </si>
  <si>
    <t>Verificar pagos, disputa y acuerdo vigente; registrar el seguimiento autorizado con responsable y fecha.</t>
  </si>
  <si>
    <t>["invoices:INV-H090","payments:PAY-H090"]</t>
  </si>
  <si>
    <t>[{"field":"status","record_id":"INV-H090","table":"invoices","value":"issued","version":1},{"field":"amount_cents","record_id":"INV-H090","table":"invoices","value":90000,"version":1},{"field":"due_at","record_id":"INV-H090","table":"invoices","value":"2026-08-13T00:00:00Z","version":1},{"field":"invoice_id","record_id":"PAY-H090","table":"payments","value":"INV-H090","version":1},{"field":"amount_cents","record_id":"PAY-H090","table":"payments","value":45000,"version":1},{"field":"paid_at","record_id":"PAY-H090","table":"payments","value":"2026-08-08T00:00:00Z","version":1}]</t>
  </si>
  <si>
    <t>65369f3ee5e5c62b83ad59af86b10496753838869968053aaee6777a8db654d7</t>
  </si>
  <si>
    <t>pending</t>
  </si>
  <si>
    <t>OPS-OVERDUE-AR-0c180ec56640</t>
  </si>
  <si>
    <t>Conciliar saldo vencido · INV-H123</t>
  </si>
  <si>
    <t>Saldo positivo conciliado de 45000 centavos; 59 días calendario desde vencimiento.</t>
  </si>
  <si>
    <t>["invoices:INV-H123","payments:PAY-H123"]</t>
  </si>
  <si>
    <t>[{"field":"status","record_id":"INV-H123","table":"invoices","value":"issued","version":1},{"field":"amount_cents","record_id":"INV-H123","table":"invoices","value":90000,"version":1},{"field":"due_at","record_id":"INV-H123","table":"invoices","value":"2026-07-24T05:00:00Z","version":1},{"field":"invoice_id","record_id":"PAY-H123","table":"payments","value":"INV-H123","version":1},{"field":"amount_cents","record_id":"PAY-H123","table":"payments","value":45000,"version":1},{"field":"paid_at","record_id":"PAY-H123","table":"payments","value":"2026-07-19T05:00:00Z","version":1}]</t>
  </si>
  <si>
    <t>OPS-OVERDUE-AR-15fc19a07da0</t>
  </si>
  <si>
    <t>Conciliar saldo vencido · INV-H120</t>
  </si>
  <si>
    <t>Saldo positivo conciliado de 95000 centavos; 58 días calendario desde vencimiento.</t>
  </si>
  <si>
    <t>["invoices:INV-H120","payments:PAY-H120"]</t>
  </si>
  <si>
    <t>[{"field":"status","record_id":"INV-H120","table":"invoices","value":"issued","version":1},{"field":"amount_cents","record_id":"INV-H120","table":"invoices","value":190000,"version":1},{"field":"due_at","record_id":"INV-H120","table":"invoices","value":"2026-07-25T14:00:00Z","version":1},{"field":"invoice_id","record_id":"PAY-H120","table":"payments","value":"INV-H120","version":1},{"field":"amount_cents","record_id":"PAY-H120","table":"payments","value":95000,"version":1},{"field":"paid_at","record_id":"PAY-H120","table":"payments","value":"2026-07-20T14:00:00Z","version":1}]</t>
  </si>
  <si>
    <t>OPS-OVERDUE-AR-17f08bd15ff9</t>
  </si>
  <si>
    <t>Conciliar saldo vencido · INV-H111</t>
  </si>
  <si>
    <t>Saldo positivo conciliado de 38750 centavos; 53 días calendario desde vencimiento.</t>
  </si>
  <si>
    <t>["invoices:INV-H111","payments:PAY-H111"]</t>
  </si>
  <si>
    <t>[{"field":"status","record_id":"INV-H111","table":"invoices","value":"issued","version":1},{"field":"amount_cents","record_id":"INV-H111","table":"invoices","value":77500,"version":1},{"field":"due_at","record_id":"INV-H111","table":"invoices","value":"2026-07-30T21:00:00Z","version":1},{"field":"invoice_id","record_id":"PAY-H111","table":"payments","value":"INV-H111","version":1},{"field":"amount_cents","record_id":"PAY-H111","table":"payments","value":38750,"version":1},{"field":"paid_at","record_id":"PAY-H111","table":"payments","value":"2026-07-25T21:00:00Z","version":1}]</t>
  </si>
  <si>
    <t>OPS-OVERDUE-AR-1bf296ca6aa9</t>
  </si>
  <si>
    <t>Conciliar saldo vencido · INV-H156</t>
  </si>
  <si>
    <t>Saldo positivo conciliado de 45000 centavos; 77 días calendario desde vencimiento.</t>
  </si>
  <si>
    <t>["invoices:INV-H156","payments:PAY-H156"]</t>
  </si>
  <si>
    <t>[{"field":"status","record_id":"INV-H156","table":"invoices","value":"issued","version":1},{"field":"amount_cents","record_id":"INV-H156","table":"invoices","value":90000,"version":1},{"field":"due_at","record_id":"INV-H156","table":"invoices","value":"2026-07-06T04:00:00Z","version":1},{"field":"invoice_id","record_id":"PAY-H156","table":"payments","value":"INV-H156","version":1},{"field":"amount_cents","record_id":"PAY-H156","table":"payments","value":45000,"version":1},{"field":"paid_at","record_id":"PAY-H156","table":"payments","value":"2026-07-01T04:00:00Z","version":1}]</t>
  </si>
  <si>
    <t>OPS-OVERDUE-AR-229cb3121035</t>
  </si>
  <si>
    <t>Conciliar saldo vencido · INV-H135</t>
  </si>
  <si>
    <t>Saldo positivo conciliado de 51250 centavos; 64 días calendario desde vencimiento.</t>
  </si>
  <si>
    <t>["invoices:INV-H135","payments:PAY-H135"]</t>
  </si>
  <si>
    <t>[{"field":"status","record_id":"INV-H135","table":"invoices","value":"issued","version":1},{"field":"amount_cents","record_id":"INV-H135","table":"invoices","value":102500,"version":1},{"field":"due_at","record_id":"INV-H135","table":"invoices","value":"2026-07-19T12:00:00Z","version":1},{"field":"invoice_id","record_id":"PAY-H135","table":"payments","value":"INV-H135","version":1},{"field":"amount_cents","record_id":"PAY-H135","table":"payments","value":51250,"version":1},{"field":"paid_at","record_id":"PAY-H135","table":"payments","value":"2026-07-14T12:00:00Z","version":1}]</t>
  </si>
  <si>
    <t>OPS-OVERDUE-AR-282ebb4073eb</t>
  </si>
  <si>
    <t>Conciliar saldo vencido · INV-H108</t>
  </si>
  <si>
    <t>Saldo positivo conciliado de 88750 centavos; 49 días calendario desde vencimiento.</t>
  </si>
  <si>
    <t>["invoices:INV-H108","payments:PAY-H108"]</t>
  </si>
  <si>
    <t>[{"field":"status","record_id":"INV-H108","table":"invoices","value":"issued","version":1},{"field":"amount_cents","record_id":"INV-H108","table":"invoices","value":177500,"version":1},{"field":"due_at","record_id":"INV-H108","table":"invoices","value":"2026-08-03T00:00:00Z","version":1},{"field":"invoice_id","record_id":"PAY-H108","table":"payments","value":"INV-H108","version":1},{"field":"amount_cents","record_id":"PAY-H108","table":"payments","value":88750,"version":1},{"field":"paid_at","record_id":"PAY-H108","table":"payments","value":"2026-07-29T00:00:00Z","version":1}]</t>
  </si>
  <si>
    <t>OPS-OVERDUE-AR-2b28729d3d5f</t>
  </si>
  <si>
    <t>Conciliar saldo vencido · INV-H066</t>
  </si>
  <si>
    <t>Saldo positivo conciliado de 32500 centavos; 28 días calendario desde vencimiento.</t>
  </si>
  <si>
    <t>["invoices:INV-H066","payments:PAY-H066"]</t>
  </si>
  <si>
    <t>[{"field":"status","record_id":"INV-H066","table":"invoices","value":"issued","version":1},{"field":"amount_cents","record_id":"INV-H066","table":"invoices","value":65000,"version":1},{"field":"due_at","record_id":"INV-H066","table":"invoices","value":"2026-08-24T00:00:00Z","version":1},{"field":"invoice_id","record_id":"PAY-H066","table":"payments","value":"INV-H066","version":1},{"field":"amount_cents","record_id":"PAY-H066","table":"payments","value":32500,"version":1},{"field":"paid_at","record_id":"PAY-H066","table":"payments","value":"2026-08-19T00:00:00Z","version":1}]</t>
  </si>
  <si>
    <t>OPS-OVERDUE-AR-2baf65bcb882</t>
  </si>
  <si>
    <t>Conciliar saldo vencido · INV-H048</t>
  </si>
  <si>
    <t>Saldo positivo conciliado de 57500 centavos; 18 días calendario desde vencimiento.</t>
  </si>
  <si>
    <t>["invoices:INV-H048","payments:PAY-H048"]</t>
  </si>
  <si>
    <t>[{"field":"status","record_id":"INV-H048","table":"invoices","value":"issued","version":1},{"field":"amount_cents","record_id":"INV-H048","table":"invoices","value":115000,"version":1},{"field":"due_at","record_id":"INV-H048","table":"invoices","value":"2026-09-03T00:00:00Z","version":1},{"field":"invoice_id","record_id":"PAY-H048","table":"payments","value":"INV-H048","version":1},{"field":"amount_cents","record_id":"PAY-H048","table":"payments","value":57500,"version":1},{"field":"paid_at","record_id":"PAY-H048","table":"payments","value":"2026-08-29T00:00:00Z","version":1}]</t>
  </si>
  <si>
    <t>OPS-OVERDUE-AR-383080fbe6c5</t>
  </si>
  <si>
    <t>Conciliar saldo vencido · INV-H114</t>
  </si>
  <si>
    <t>Saldo positivo conciliado de 57500 centavos; 55 días calendario desde vencimiento.</t>
  </si>
  <si>
    <t>["invoices:INV-H114","payments:PAY-H114"]</t>
  </si>
  <si>
    <t>[{"field":"status","record_id":"INV-H114","table":"invoices","value":"issued","version":1},{"field":"amount_cents","record_id":"INV-H114","table":"invoices","value":115000,"version":1},{"field":"due_at","record_id":"INV-H114","table":"invoices","value":"2026-07-28T22:00:00Z","version":1},{"field":"invoice_id","record_id":"PAY-H114","table":"payments","value":"INV-H114","version":1},{"field":"amount_cents","record_id":"PAY-H114","table":"payments","value":57500,"version":1},{"field":"paid_at","record_id":"PAY-H114","table":"payments","value":"2026-07-23T22:00:00Z","version":1}]</t>
  </si>
  <si>
    <t>OPS-OVERDUE-AR-459f0b43bb21</t>
  </si>
  <si>
    <t>Conciliar saldo vencido · INV-H141</t>
  </si>
  <si>
    <t>Saldo positivo conciliado de 88750 centavos; 69 días calendario desde vencimiento.</t>
  </si>
  <si>
    <t>["invoices:INV-H141","payments:PAY-H141"]</t>
  </si>
  <si>
    <t>[{"field":"status","record_id":"INV-H141","table":"invoices","value":"issued","version":1},{"field":"amount_cents","record_id":"INV-H141","table":"invoices","value":177500,"version":1},{"field":"due_at","record_id":"INV-H141","table":"invoices","value":"2026-07-14T05:00:00Z","version":1},{"field":"invoice_id","record_id":"PAY-H141","table":"payments","value":"INV-H141","version":1},{"field":"amount_cents","record_id":"PAY-H141","table":"payments","value":88750,"version":1},{"field":"paid_at","record_id":"PAY-H141","table":"payments","value":"2026-07-09T05:00:00Z","version":1}]</t>
  </si>
  <si>
    <t>OPS-OVERDUE-AR-562f8c30411e</t>
  </si>
  <si>
    <t>Conciliar saldo vencido · INV-H147</t>
  </si>
  <si>
    <t>Saldo positivo conciliado de 57500 centavos; 73 días calendario desde vencimiento.</t>
  </si>
  <si>
    <t>["invoices:INV-H147","payments:PAY-H147"]</t>
  </si>
  <si>
    <t>[{"field":"status","record_id":"INV-H147","table":"invoices","value":"issued","version":1},{"field":"amount_cents","record_id":"INV-H147","table":"invoices","value":115000,"version":1},{"field":"due_at","record_id":"INV-H147","table":"invoices","value":"2026-07-10T21:00:00Z","version":1},{"field":"invoice_id","record_id":"PAY-H147","table":"payments","value":"INV-H147","version":1},{"field":"amount_cents","record_id":"PAY-H147","table":"payments","value":57500,"version":1},{"field":"paid_at","record_id":"PAY-H147","table":"payments","value":"2026-07-05T21:00:00Z","version":1}]</t>
  </si>
  <si>
    <t>OPS-OVERDUE-AR-5870323759cb</t>
  </si>
  <si>
    <t>Conciliar saldo vencido · INV-H072</t>
  </si>
  <si>
    <t>Saldo positivo conciliado de 70000 centavos; 30 días calendario desde vencimiento.</t>
  </si>
  <si>
    <t>["invoices:INV-H072","payments:PAY-H072"]</t>
  </si>
  <si>
    <t>[{"field":"status","record_id":"INV-H072","table":"invoices","value":"issued","version":1},{"field":"amount_cents","record_id":"INV-H072","table":"invoices","value":140000,"version":1},{"field":"due_at","record_id":"INV-H072","table":"invoices","value":"2026-08-22T12:00:00Z","version":1},{"field":"invoice_id","record_id":"PAY-H072","table":"payments","value":"INV-H072","version":1},{"field":"amount_cents","record_id":"PAY-H072","table":"payments","value":70000,"version":1},{"field":"paid_at","record_id":"PAY-H072","table":"payments","value":"2026-08-17T12:00:00Z","version":1}]</t>
  </si>
  <si>
    <t>OPS-OVERDUE-AR-602f92473b40</t>
  </si>
  <si>
    <t>Conciliar saldo vencido · INV-H096</t>
  </si>
  <si>
    <t>Saldo positivo conciliado de 82500 centavos; 45 días calendario desde vencimiento.</t>
  </si>
  <si>
    <t>["invoices:INV-H096","payments:PAY-H096"]</t>
  </si>
  <si>
    <t>[{"field":"status","record_id":"INV-H096","table":"invoices","value":"issued","version":1},{"field":"amount_cents","record_id":"INV-H096","table":"invoices","value":165000,"version":1},{"field":"due_at","record_id":"INV-H096","table":"invoices","value":"2026-08-07T22:00:00Z","version":1},{"field":"invoice_id","record_id":"PAY-H096","table":"payments","value":"INV-H096","version":1},{"field":"amount_cents","record_id":"PAY-H096","table":"payments","value":82500,"version":1},{"field":"paid_at","record_id":"PAY-H096","table":"payments","value":"2026-08-02T22:00:00Z","version":1}]</t>
  </si>
  <si>
    <t>OPS-OVERDUE-AR-63d106e55db9</t>
  </si>
  <si>
    <t>Conciliar saldo vencido · INV-H150</t>
  </si>
  <si>
    <t>Saldo positivo conciliado de 76250 centavos; 74 días calendario desde vencimiento.</t>
  </si>
  <si>
    <t>["invoices:INV-H150","payments:PAY-H150"]</t>
  </si>
  <si>
    <t>[{"field":"status","record_id":"INV-H150","table":"invoices","value":"issued","version":1},{"field":"amount_cents","record_id":"INV-H150","table":"invoices","value":152500,"version":1},{"field":"due_at","record_id":"INV-H150","table":"invoices","value":"2026-07-09T12:00:00Z","version":1},{"field":"invoice_id","record_id":"PAY-H150","table":"payments","value":"INV-H150","version":1},{"field":"amount_cents","record_id":"PAY-H150","table":"payments","value":76250,"version":1},{"field":"paid_at","record_id":"PAY-H150","table":"payments","value":"2026-07-04T12:00:00Z","version":1}]</t>
  </si>
  <si>
    <t>OPS-OVERDUE-AR-6d09bffb3c1c</t>
  </si>
  <si>
    <t>Conciliar saldo vencido · INV-H069</t>
  </si>
  <si>
    <t>Saldo positivo conciliado de 51250 centavos; 30 días calendario desde vencimiento.</t>
  </si>
  <si>
    <t>["invoices:INV-H069","payments:PAY-H069"]</t>
  </si>
  <si>
    <t>[{"field":"status","record_id":"INV-H069","table":"invoices","value":"issued","version":1},{"field":"amount_cents","record_id":"INV-H069","table":"invoices","value":102500,"version":1},{"field":"due_at","record_id":"INV-H069","table":"invoices","value":"2026-08-22T15:00:00Z","version":1},{"field":"invoice_id","record_id":"PAY-H069","table":"payments","value":"INV-H069","version":1},{"field":"amount_cents","record_id":"PAY-H069","table":"payments","value":51250,"version":1},{"field":"paid_at","record_id":"PAY-H069","table":"payments","value":"2026-08-17T15:00:00Z","version":1}]</t>
  </si>
  <si>
    <t>OPS-OVERDUE-AR-6e788258842d</t>
  </si>
  <si>
    <t>Conciliar saldo vencido · INV-H159</t>
  </si>
  <si>
    <t>Saldo positivo conciliado de 63750 centavos; 79 días calendario desde vencimiento.</t>
  </si>
  <si>
    <t>["invoices:INV-H159","payments:PAY-H159"]</t>
  </si>
  <si>
    <t>[{"field":"status","record_id":"INV-H159","table":"invoices","value":"issued","version":1},{"field":"amount_cents","record_id":"INV-H159","table":"invoices","value":127500,"version":1},{"field":"due_at","record_id":"INV-H159","table":"invoices","value":"2026-07-04T19:00:00Z","version":1},{"field":"invoice_id","record_id":"PAY-H159","table":"payments","value":"INV-H159","version":1},{"field":"amount_cents","record_id":"PAY-H159","table":"payments","value":63750,"version":1},{"field":"paid_at","record_id":"PAY-H159","table":"payments","value":"2026-06-29T19:00:00Z","version":1}]</t>
  </si>
  <si>
    <t>OPS-OVERDUE-AR-75c72ee6cf2d</t>
  </si>
  <si>
    <t>Conciliar saldo vencido · INV-H081</t>
  </si>
  <si>
    <t>Saldo positivo conciliado de 57500 centavos; 34 días calendario desde vencimiento.</t>
  </si>
  <si>
    <t>["invoices:INV-H081","payments:PAY-H081"]</t>
  </si>
  <si>
    <t>[{"field":"status","record_id":"INV-H081","table":"invoices","value":"issued","version":1},{"field":"amount_cents","record_id":"INV-H081","table":"invoices","value":115000,"version":1},{"field":"due_at","record_id":"INV-H081","table":"invoices","value":"2026-08-18T00:00:00Z","version":1},{"field":"invoice_id","record_id":"PAY-H081","table":"payments","value":"INV-H081","version":1},{"field":"amount_cents","record_id":"PAY-H081","table":"payments","value":57500,"version":1},{"field":"paid_at","record_id":"PAY-H081","table":"payments","value":"2026-08-13T00:00:00Z","version":1}]</t>
  </si>
  <si>
    <t>OPS-OVERDUE-AR-7c21be951474</t>
  </si>
  <si>
    <t>Conciliar saldo vencido · INV-H093</t>
  </si>
  <si>
    <t>Saldo positivo conciliado de 63750 centavos; 43 días calendario desde vencimiento.</t>
  </si>
  <si>
    <t>["invoices:INV-H093","payments:PAY-H093"]</t>
  </si>
  <si>
    <t>[{"field":"status","record_id":"INV-H093","table":"invoices","value":"issued","version":1},{"field":"amount_cents","record_id":"INV-H093","table":"invoices","value":127500,"version":1},{"field":"due_at","record_id":"INV-H093","table":"invoices","value":"2026-08-09T07:00:00Z","version":1},{"field":"invoice_id","record_id":"PAY-H093","table":"payments","value":"INV-H093","version":1},{"field":"amount_cents","record_id":"PAY-H093","table":"payments","value":63750,"version":1},{"field":"paid_at","record_id":"PAY-H093","table":"payments","value":"2026-08-04T07:00:00Z","version":1}]</t>
  </si>
  <si>
    <t>OPS-OVERDUE-AR-7d6dcf30c685</t>
  </si>
  <si>
    <t>Conciliar saldo vencido · INV-H063</t>
  </si>
  <si>
    <t>Saldo positivo conciliado de 82500 centavos; 25 días calendario desde vencimiento.</t>
  </si>
  <si>
    <t>["invoices:INV-H063","payments:PAY-H063"]</t>
  </si>
  <si>
    <t>[{"field":"status","record_id":"INV-H063","table":"invoices","value":"issued","version":1},{"field":"amount_cents","record_id":"INV-H063","table":"invoices","value":165000,"version":1},{"field":"due_at","record_id":"INV-H063","table":"invoices","value":"2026-08-27T12:00:00Z","version":1},{"field":"invoice_id","record_id":"PAY-H063","table":"payments","value":"INV-H063","version":1},{"field":"amount_cents","record_id":"PAY-H063","table":"payments","value":82500,"version":1},{"field":"paid_at","record_id":"PAY-H063","table":"payments","value":"2026-08-22T12:00:00Z","version":1}]</t>
  </si>
  <si>
    <t>OPS-OVERDUE-AR-7ed3e7e33f4e</t>
  </si>
  <si>
    <t>Conciliar saldo vencido · INV-H144</t>
  </si>
  <si>
    <t>Saldo positivo conciliado de 38750 centavos; 69 días calendario desde vencimiento.</t>
  </si>
  <si>
    <t>["invoices:INV-H144","payments:PAY-H144"]</t>
  </si>
  <si>
    <t>[{"field":"status","record_id":"INV-H144","table":"invoices","value":"issued","version":1},{"field":"amount_cents","record_id":"INV-H144","table":"invoices","value":77500,"version":1},{"field":"due_at","record_id":"INV-H144","table":"invoices","value":"2026-07-14T12:00:00Z","version":1},{"field":"invoice_id","record_id":"PAY-H144","table":"payments","value":"INV-H144","version":1},{"field":"amount_cents","record_id":"PAY-H144","table":"payments","value":38750,"version":1},{"field":"paid_at","record_id":"PAY-H144","table":"payments","value":"2026-07-09T12:00:00Z","version":1}]</t>
  </si>
  <si>
    <t>OPS-OVERDUE-AR-85f52a0ae3cf</t>
  </si>
  <si>
    <t>Conciliar saldo vencido · INV-H153</t>
  </si>
  <si>
    <t>Saldo positivo conciliado de 95000 centavos; 73 días calendario desde vencimiento.</t>
  </si>
  <si>
    <t>["invoices:INV-H153","payments:PAY-H153"]</t>
  </si>
  <si>
    <t>[{"field":"status","record_id":"INV-H153","table":"invoices","value":"issued","version":1},{"field":"amount_cents","record_id":"INV-H153","table":"invoices","value":190000,"version":1},{"field":"due_at","record_id":"INV-H153","table":"invoices","value":"2026-07-10T00:00:00Z","version":1},{"field":"invoice_id","record_id":"PAY-H153","table":"payments","value":"INV-H153","version":1},{"field":"amount_cents","record_id":"PAY-H153","table":"payments","value":95000,"version":1},{"field":"paid_at","record_id":"PAY-H153","table":"payments","value":"2026-07-05T00:00:00Z","version":1}]</t>
  </si>
  <si>
    <t>OPS-OVERDUE-AR-881da2627b3b</t>
  </si>
  <si>
    <t>Conciliar saldo vencido · INV-H117</t>
  </si>
  <si>
    <t>Saldo positivo conciliado de 76250 centavos; 54 días calendario desde vencimiento.</t>
  </si>
  <si>
    <t>["invoices:INV-H117","payments:PAY-H117"]</t>
  </si>
  <si>
    <t>[{"field":"status","record_id":"INV-H117","table":"invoices","value":"issued","version":1},{"field":"amount_cents","record_id":"INV-H117","table":"invoices","value":152500,"version":1},{"field":"due_at","record_id":"INV-H117","table":"invoices","value":"2026-07-29T12:00:00Z","version":1},{"field":"invoice_id","record_id":"PAY-H117","table":"payments","value":"INV-H117","version":1},{"field":"amount_cents","record_id":"PAY-H117","table":"payments","value":76250,"version":1},{"field":"paid_at","record_id":"PAY-H117","table":"payments","value":"2026-07-24T12:00:00Z","version":1}]</t>
  </si>
  <si>
    <t>OPS-OVERDUE-AR-94eb332c3180</t>
  </si>
  <si>
    <t>Conciliar saldo vencido · INV-H051</t>
  </si>
  <si>
    <t>Saldo positivo conciliado de 76250 centavos; 20 días calendario desde vencimiento.</t>
  </si>
  <si>
    <t>["invoices:INV-H051","payments:PAY-H051"]</t>
  </si>
  <si>
    <t>[{"field":"status","record_id":"INV-H051","table":"invoices","value":"issued","version":1},{"field":"amount_cents","record_id":"INV-H051","table":"invoices","value":152500,"version":1},{"field":"due_at","record_id":"INV-H051","table":"invoices","value":"2026-09-01T01:00:00Z","version":1},{"field":"invoice_id","record_id":"PAY-H051","table":"payments","value":"INV-H051","version":1},{"field":"amount_cents","record_id":"PAY-H051","table":"payments","value":76250,"version":1},{"field":"paid_at","record_id":"PAY-H051","table":"payments","value":"2026-08-27T01:00:00Z","version":1}]</t>
  </si>
  <si>
    <t>OPS-OVERDUE-AR-ab296b1e2caf</t>
  </si>
  <si>
    <t>Conciliar saldo vencido · INV-H132</t>
  </si>
  <si>
    <t>Saldo positivo conciliado de 32500 centavos; 64 días calendario desde vencimiento.</t>
  </si>
  <si>
    <t>["invoices:INV-H132","payments:PAY-H132"]</t>
  </si>
  <si>
    <t>[{"field":"status","record_id":"INV-H132","table":"invoices","value":"issued","version":1},{"field":"amount_cents","record_id":"INV-H132","table":"invoices","value":65000,"version":1},{"field":"due_at","record_id":"INV-H132","table":"invoices","value":"2026-07-19T12:00:00Z","version":1},{"field":"invoice_id","record_id":"PAY-H132","table":"payments","value":"INV-H132","version":1},{"field":"amount_cents","record_id":"PAY-H132","table":"payments","value":32500,"version":1},{"field":"paid_at","record_id":"PAY-H132","table":"payments","value":"2026-07-14T12:00:00Z","version":1}]</t>
  </si>
  <si>
    <t>OPS-OVERDUE-AR-af79b9e4cc85</t>
  </si>
  <si>
    <t>Conciliar saldo vencido · INV-H054</t>
  </si>
  <si>
    <t>Saldo positivo conciliado de 95000 centavos; 20 días calendario desde vencimiento.</t>
  </si>
  <si>
    <t>["invoices:INV-H054","payments:PAY-H054"]</t>
  </si>
  <si>
    <t>[{"field":"status","record_id":"INV-H054","table":"invoices","value":"issued","version":1},{"field":"amount_cents","record_id":"INV-H054","table":"invoices","value":190000,"version":1},{"field":"due_at","record_id":"INV-H054","table":"invoices","value":"2026-09-01T12:00:00Z","version":1},{"field":"invoice_id","record_id":"PAY-H054","table":"payments","value":"INV-H054","version":1},{"field":"amount_cents","record_id":"PAY-H054","table":"payments","value":95000,"version":1},{"field":"paid_at","record_id":"PAY-H054","table":"payments","value":"2026-08-27T12:00:00Z","version":1}]</t>
  </si>
  <si>
    <t>OPS-OVERDUE-AR-b5ad32ac016f</t>
  </si>
  <si>
    <t>Conciliar saldo vencido · INV-H105</t>
  </si>
  <si>
    <t>Saldo positivo conciliado de 70000 centavos; 50 días calendario desde vencimiento.</t>
  </si>
  <si>
    <t>["invoices:INV-H105","payments:PAY-H105"]</t>
  </si>
  <si>
    <t>[{"field":"status","record_id":"INV-H105","table":"invoices","value":"issued","version":1},{"field":"amount_cents","record_id":"INV-H105","table":"invoices","value":140000,"version":1},{"field":"due_at","record_id":"INV-H105","table":"invoices","value":"2026-08-02T15:00:00Z","version":1},{"field":"invoice_id","record_id":"PAY-H105","table":"payments","value":"INV-H105","version":1},{"field":"amount_cents","record_id":"PAY-H105","table":"payments","value":70000,"version":1},{"field":"paid_at","record_id":"PAY-H105","table":"payments","value":"2026-07-28T15:00:00Z","version":1}]</t>
  </si>
  <si>
    <t>OPS-OVERDUE-AR-b9d601f8a41c</t>
  </si>
  <si>
    <t>Conciliar saldo vencido · INV-H099</t>
  </si>
  <si>
    <t>Saldo positivo conciliado de 32500 centavos; 44 días calendario desde vencimiento.</t>
  </si>
  <si>
    <t>["invoices:INV-H099","payments:PAY-H099"]</t>
  </si>
  <si>
    <t>[{"field":"status","record_id":"INV-H099","table":"invoices","value":"issued","version":1},{"field":"amount_cents","record_id":"INV-H099","table":"invoices","value":65000,"version":1},{"field":"due_at","record_id":"INV-H099","table":"invoices","value":"2026-08-08T00:00:00Z","version":1},{"field":"invoice_id","record_id":"PAY-H099","table":"payments","value":"INV-H099","version":1},{"field":"amount_cents","record_id":"PAY-H099","table":"payments","value":32500,"version":1},{"field":"paid_at","record_id":"PAY-H099","table":"payments","value":"2026-08-03T00:00:00Z","version":1}]</t>
  </si>
  <si>
    <t>OPS-OVERDUE-AR-bbad2f9201de</t>
  </si>
  <si>
    <t>Conciliar saldo vencido · INV-H102</t>
  </si>
  <si>
    <t>Saldo positivo conciliado de 51250 centavos; 48 días calendario desde vencimiento.</t>
  </si>
  <si>
    <t>["invoices:INV-H102","payments:PAY-H102"]</t>
  </si>
  <si>
    <t>[{"field":"status","record_id":"INV-H102","table":"invoices","value":"issued","version":1},{"field":"amount_cents","record_id":"INV-H102","table":"invoices","value":102500,"version":1},{"field":"due_at","record_id":"INV-H102","table":"invoices","value":"2026-08-04T14:00:00Z","version":1},{"field":"invoice_id","record_id":"PAY-H102","table":"payments","value":"INV-H102","version":1},{"field":"amount_cents","record_id":"PAY-H102","table":"payments","value":51250,"version":1},{"field":"paid_at","record_id":"PAY-H102","table":"payments","value":"2026-07-30T14:00:00Z","version":1}]</t>
  </si>
  <si>
    <t>OPS-OVERDUE-AR-be80e943e24e</t>
  </si>
  <si>
    <t>Conciliar saldo vencido · INV-H138</t>
  </si>
  <si>
    <t>Saldo positivo conciliado de 70000 centavos; 67 días calendario desde vencimiento.</t>
  </si>
  <si>
    <t>["invoices:INV-H138","payments:PAY-H138"]</t>
  </si>
  <si>
    <t>[{"field":"status","record_id":"INV-H138","table":"invoices","value":"issued","version":1},{"field":"amount_cents","record_id":"INV-H138","table":"invoices","value":140000,"version":1},{"field":"due_at","record_id":"INV-H138","table":"invoices","value":"2026-07-16T04:00:00Z","version":1},{"field":"invoice_id","record_id":"PAY-H138","table":"payments","value":"INV-H138","version":1},{"field":"amount_cents","record_id":"PAY-H138","table":"payments","value":70000,"version":1},{"field":"paid_at","record_id":"PAY-H138","table":"payments","value":"2026-07-11T04:00:00Z","version":1}]</t>
  </si>
  <si>
    <t>OPS-OVERDUE-AR-c09bfbd5aa26</t>
  </si>
  <si>
    <t>Conciliar saldo vencido · INV-H075</t>
  </si>
  <si>
    <t>Saldo positivo conciliado de 88750 centavos; 33 días calendario desde vencimiento.</t>
  </si>
  <si>
    <t>["invoices:INV-H075","payments:PAY-H075"]</t>
  </si>
  <si>
    <t>[{"field":"status","record_id":"INV-H075","table":"invoices","value":"issued","version":1},{"field":"amount_cents","record_id":"INV-H075","table":"invoices","value":177500,"version":1},{"field":"due_at","record_id":"INV-H075","table":"invoices","value":"2026-08-19T07:00:00Z","version":1},{"field":"invoice_id","record_id":"PAY-H075","table":"payments","value":"INV-H075","version":1},{"field":"amount_cents","record_id":"PAY-H075","table":"payments","value":88750,"version":1},{"field":"paid_at","record_id":"PAY-H075","table":"payments","value":"2026-08-14T07:00:00Z","version":1}]</t>
  </si>
  <si>
    <t>OPS-OVERDUE-AR-c483196a3c50</t>
  </si>
  <si>
    <t>Conciliar saldo vencido · INV-H045</t>
  </si>
  <si>
    <t>Saldo positivo conciliado de 38750 centavos; 15 días calendario desde vencimiento.</t>
  </si>
  <si>
    <t>["invoices:INV-H045","payments:PAY-H045"]</t>
  </si>
  <si>
    <t>[{"field":"status","record_id":"INV-H045","table":"invoices","value":"issued","version":1},{"field":"amount_cents","record_id":"INV-H045","table":"invoices","value":77500,"version":1},{"field":"due_at","record_id":"INV-H045","table":"invoices","value":"2026-09-06T12:00:00Z","version":1},{"field":"invoice_id","record_id":"PAY-H045","table":"payments","value":"INV-H045","version":1},{"field":"amount_cents","record_id":"PAY-H045","table":"payments","value":38750,"version":1},{"field":"paid_at","record_id":"PAY-H045","table":"payments","value":"2026-09-01T12:00:00Z","version":1}]</t>
  </si>
  <si>
    <t>OPS-OVERDUE-AR-cbcce9b2b8ff</t>
  </si>
  <si>
    <t>Conciliar saldo vencido · INV-H060</t>
  </si>
  <si>
    <t>Saldo positivo conciliado de 63750 centavos; 25 días calendario desde vencimiento.</t>
  </si>
  <si>
    <t>["invoices:INV-H060","payments:PAY-H060"]</t>
  </si>
  <si>
    <t>[{"field":"status","record_id":"INV-H060","table":"invoices","value":"issued","version":1},{"field":"amount_cents","record_id":"INV-H060","table":"invoices","value":127500,"version":1},{"field":"due_at","record_id":"INV-H060","table":"invoices","value":"2026-08-27T08:00:00Z","version":1},{"field":"invoice_id","record_id":"PAY-H060","table":"payments","value":"INV-H060","version":1},{"field":"amount_cents","record_id":"PAY-H060","table":"payments","value":63750,"version":1},{"field":"paid_at","record_id":"PAY-H060","table":"payments","value":"2026-08-22T08:00:00Z","version":1}]</t>
  </si>
  <si>
    <t>OPS-OVERDUE-AR-d2b5e40e632b</t>
  </si>
  <si>
    <t>Conciliar saldo vencido · INV-H126</t>
  </si>
  <si>
    <t>Saldo positivo conciliado de 63750 centavos; 59 días calendario desde vencimiento.</t>
  </si>
  <si>
    <t>["invoices:INV-H126","payments:PAY-H126"]</t>
  </si>
  <si>
    <t>[{"field":"status","record_id":"INV-H126","table":"invoices","value":"issued","version":1},{"field":"amount_cents","record_id":"INV-H126","table":"invoices","value":127500,"version":1},{"field":"due_at","record_id":"INV-H126","table":"invoices","value":"2026-07-24T12:00:00Z","version":1},{"field":"invoice_id","record_id":"PAY-H126","table":"payments","value":"INV-H126","version":1},{"field":"amount_cents","record_id":"PAY-H126","table":"payments","value":63750,"version":1},{"field":"paid_at","record_id":"PAY-H126","table":"payments","value":"2026-07-19T12:00:00Z","version":1}]</t>
  </si>
  <si>
    <t>OPS-OVERDUE-AR-e3282bda32b1</t>
  </si>
  <si>
    <t>Conciliar saldo vencido · INV-H087</t>
  </si>
  <si>
    <t>Saldo positivo conciliado de 95000 centavos; 40 días calendario desde vencimiento.</t>
  </si>
  <si>
    <t>["invoices:INV-H087","payments:PAY-H087"]</t>
  </si>
  <si>
    <t>[{"field":"status","record_id":"INV-H087","table":"invoices","value":"issued","version":1},{"field":"amount_cents","record_id":"INV-H087","table":"invoices","value":190000,"version":1},{"field":"due_at","record_id":"INV-H087","table":"invoices","value":"2026-08-12T15:00:00Z","version":1},{"field":"invoice_id","record_id":"PAY-H087","table":"payments","value":"INV-H087","version":1},{"field":"amount_cents","record_id":"PAY-H087","table":"payments","value":95000,"version":1},{"field":"paid_at","record_id":"PAY-H087","table":"payments","value":"2026-08-07T15:00:00Z","version":1}]</t>
  </si>
  <si>
    <t>OPS-OVERDUE-AR-eb8673722d0a</t>
  </si>
  <si>
    <t>Conciliar saldo vencido · INV-H057</t>
  </si>
  <si>
    <t>Saldo positivo conciliado de 45000 centavos; 24 días calendario desde vencimiento.</t>
  </si>
  <si>
    <t>["invoices:INV-H057","payments:PAY-H057"]</t>
  </si>
  <si>
    <t>[{"field":"status","record_id":"INV-H057","table":"invoices","value":"issued","version":1},{"field":"amount_cents","record_id":"INV-H057","table":"invoices","value":90000,"version":1},{"field":"due_at","record_id":"INV-H057","table":"invoices","value":"2026-08-28T17:00:00Z","version":1},{"field":"invoice_id","record_id":"PAY-H057","table":"payments","value":"INV-H057","version":1},{"field":"amount_cents","record_id":"PAY-H057","table":"payments","value":45000,"version":1},{"field":"paid_at","record_id":"PAY-H057","table":"payments","value":"2026-08-23T17:00:00Z","version":1}]</t>
  </si>
  <si>
    <t>OPS-OVERDUE-AR-f382fd72194d</t>
  </si>
  <si>
    <t>Conciliar saldo vencido · INV-H084</t>
  </si>
  <si>
    <t>Saldo positivo conciliado de 76250 centavos; 38 días calendario desde vencimiento.</t>
  </si>
  <si>
    <t>["invoices:INV-H084","payments:PAY-H084"]</t>
  </si>
  <si>
    <t>[{"field":"status","record_id":"INV-H084","table":"invoices","value":"issued","version":1},{"field":"amount_cents","record_id":"INV-H084","table":"invoices","value":152500,"version":1},{"field":"due_at","record_id":"INV-H084","table":"invoices","value":"2026-08-14T00:00:00Z","version":1},{"field":"invoice_id","record_id":"PAY-H084","table":"payments","value":"INV-H084","version":1},{"field":"amount_cents","record_id":"PAY-H084","table":"payments","value":76250,"version":1},{"field":"paid_at","record_id":"PAY-H084","table":"payments","value":"2026-08-09T00:00:00Z","version":1}]</t>
  </si>
  <si>
    <t>OPS-OVERDUE-AR-f6370156a768</t>
  </si>
  <si>
    <t>Conciliar saldo vencido · INV-H129</t>
  </si>
  <si>
    <t>Saldo positivo conciliado de 82500 centavos; 63 días calendario desde vencimiento.</t>
  </si>
  <si>
    <t>["invoices:INV-H129","payments:PAY-H129"]</t>
  </si>
  <si>
    <t>[{"field":"status","record_id":"INV-H129","table":"invoices","value":"issued","version":1},{"field":"amount_cents","record_id":"INV-H129","table":"invoices","value":165000,"version":1},{"field":"due_at","record_id":"INV-H129","table":"invoices","value":"2026-07-20T21:00:00Z","version":1},{"field":"invoice_id","record_id":"PAY-H129","table":"payments","value":"INV-H129","version":1},{"field":"amount_cents","record_id":"PAY-H129","table":"payments","value":82500,"version":1},{"field":"paid_at","record_id":"PAY-H129","table":"payments","value":"2026-07-15T21:00:00Z","version":1}]</t>
  </si>
  <si>
    <t>OPS-OVERDUE-AR-f9b846e8bf48</t>
  </si>
  <si>
    <t>Conciliar saldo vencido · INV-H042</t>
  </si>
  <si>
    <t>Saldo positivo conciliado de 88750 centavos; 16 días calendario desde vencimiento.</t>
  </si>
  <si>
    <t>["invoices:INV-H042","payments:PAY-H042"]</t>
  </si>
  <si>
    <t>[{"field":"status","record_id":"INV-H042","table":"invoices","value":"issued","version":1},{"field":"amount_cents","record_id":"INV-H042","table":"invoices","value":177500,"version":1},{"field":"due_at","record_id":"INV-H042","table":"invoices","value":"2026-09-05T18:00:00Z","version":1},{"field":"invoice_id","record_id":"PAY-H042","table":"payments","value":"INV-H042","version":1},{"field":"amount_cents","record_id":"PAY-H042","table":"payments","value":88750,"version":1},{"field":"paid_at","record_id":"PAY-H042","table":"payments","value":"2026-08-31T18:00:00Z","version":1}]</t>
  </si>
  <si>
    <t>OPS-OVERDUE-AR-ff9a05cfcf91</t>
  </si>
  <si>
    <t>Conciliar saldo vencido · INV-H078</t>
  </si>
  <si>
    <t>Saldo positivo conciliado de 38750 centavos; 35 días calendario desde vencimiento.</t>
  </si>
  <si>
    <t>["invoices:INV-H078","payments:PAY-H078"]</t>
  </si>
  <si>
    <t>[{"field":"status","record_id":"INV-H078","table":"invoices","value":"issued","version":1},{"field":"amount_cents","record_id":"INV-H078","table":"invoices","value":77500,"version":1},{"field":"due_at","record_id":"INV-H078","table":"invoices","value":"2026-08-17T08:00:00Z","version":1},{"field":"invoice_id","record_id":"PAY-H078","table":"payments","value":"INV-H078","version":1},{"field":"amount_cents","record_id":"PAY-H078","table":"payments","value":38750,"version":1},{"field":"paid_at","record_id":"PAY-H078","table":"payments","value":"2026-08-12T08:00:00Z","version":1}]</t>
  </si>
  <si>
    <t>OPS-REORDER-REVIEW-5c3610ea48ed</t>
  </si>
  <si>
    <t>reorder_review</t>
  </si>
  <si>
    <t>Revisar parte · P-004</t>
  </si>
  <si>
    <t>Responsable de partes</t>
  </si>
  <si>
    <t>Disponibles 0 unidades; punto de reposición 2.</t>
  </si>
  <si>
    <t>Conciliar conteo y reservas; revisar compras y consumo esperado antes de solicitar autorización de compra.</t>
  </si>
  <si>
    <t>["mart_inventory:P-004","parts:P-004"]</t>
  </si>
  <si>
    <t>[{"field":"on_hand","record_id":"P-004","table":"mart_inventory","value":0,"version":null},{"field":"reserved","record_id":"P-004","table":"mart_inventory","value":0,"version":null},{"field":"available","record_id":"P-004","table":"mart_inventory","value":0,"version":null},{"field":"reorder_point","record_id":"P-004","table":"mart_inventory","value":2,"version":null},{"field":"reorder_point","record_id":"P-004","table":"parts","value":2,"version":1}]</t>
  </si>
  <si>
    <t>OPS-REORDER-REVIEW-bda60ad52e3d</t>
  </si>
  <si>
    <t>Revisar parte · P-005</t>
  </si>
  <si>
    <t>["mart_inventory:P-005","parts:P-005"]</t>
  </si>
  <si>
    <t>[{"field":"on_hand","record_id":"P-005","table":"mart_inventory","value":0,"version":null},{"field":"reserved","record_id":"P-005","table":"mart_inventory","value":0,"version":null},{"field":"available","record_id":"P-005","table":"mart_inventory","value":0,"version":null},{"field":"reorder_point","record_id":"P-005","table":"mart_inventory","value":2,"version":null},{"field":"reorder_point","record_id":"P-005","table":"parts","value":2,"version":1}]</t>
  </si>
  <si>
    <t>OPS-REORDER-REVIEW-d58e8445fa34</t>
  </si>
  <si>
    <t>Revisar parte · P-006</t>
  </si>
  <si>
    <t>["mart_inventory:P-006","parts:P-006"]</t>
  </si>
  <si>
    <t>[{"field":"on_hand","record_id":"P-006","table":"mart_inventory","value":0,"version":null},{"field":"reserved","record_id":"P-006","table":"mart_inventory","value":0,"version":null},{"field":"available","record_id":"P-006","table":"mart_inventory","value":0,"version":null},{"field":"reorder_point","record_id":"P-006","table":"mart_inventory","value":2,"version":null},{"field":"reorder_point","record_id":"P-006","table":"parts","value":2,"version":1}]</t>
  </si>
  <si>
    <t>OPS-REWORK-6516d6101cae</t>
  </si>
  <si>
    <t>rework</t>
  </si>
  <si>
    <t>Revisar retrabajo · WO-004</t>
  </si>
  <si>
    <t>Jefatura de taller</t>
  </si>
  <si>
    <t>La orden está en retrabajo; la causa y el control de calidad requieren revisión.</t>
  </si>
  <si>
    <t>Confirmar la falla, responsable técnico y criterio de control de calidad antes de prometer entrega.</t>
  </si>
  <si>
    <t>["work_orders:WO-004"]</t>
  </si>
  <si>
    <t>[{"field":"status","record_id":"WO-004","table":"work_orders","value":"rework","version":1},{"field":"due_at","record_id":"WO-004","table":"work_orders","value":"2026-09-23T20:00:00Z","version":1},{"field":"block_reason","record_id":"WO-004","table":"work_orders","value":null,"version":1},{"field":"qc_ref","record_id":"WO-004","table":"work_orders","value":null,"version":1}]</t>
  </si>
  <si>
    <t>OPS-TOW-LATE-REVIEW-0ec20043e9dc</t>
  </si>
  <si>
    <t>tow_late_review</t>
  </si>
  <si>
    <t>Revisar demora de grúa · TW-002</t>
  </si>
  <si>
    <t>Coordinación grúas</t>
  </si>
  <si>
    <t>La solicitud sigue abierta después de la fecha objetivo declarada.</t>
  </si>
  <si>
    <t>Confirmar situación, seguridad y comunicación con una persona; revisar el compromiso documentado.</t>
  </si>
  <si>
    <t>["tows:TW-002"]</t>
  </si>
  <si>
    <t>[{"field":"status","record_id":"TW-002","table":"tows","value":"en_route","version":1},{"field":"requested_at","record_id":"TW-002","table":"tows","value":"2026-09-20T18:00:00Z","version":1},{"field":"due_at","record_id":"TW-002","table":"tows","value":"2026-09-20T22:00:00Z","version":1},{"field":"safety_ref","record_id":"TW-002","table":"tows","value":"SAFE-HUMAN-001","version":1},{"field":"human_approval_ref","record_id":"TW-002","table":"tows","value":"HUMAN-APP-001","version":1}]</t>
  </si>
  <si>
    <t>OPS-TOW-LATE-REVIEW-748526c58f4e</t>
  </si>
  <si>
    <t>Revisar demora de grúa · TW-003</t>
  </si>
  <si>
    <t>["tows:TW-003"]</t>
  </si>
  <si>
    <t>[{"field":"status","record_id":"TW-003","table":"tows","value":"requested","version":1},{"field":"requested_at","record_id":"TW-003","table":"tows","value":"2026-09-20T18:00:00Z","version":1},{"field":"due_at","record_id":"TW-003","table":"tows","value":"2026-09-20T22:00:00Z","version":1},{"field":"safety_ref","record_id":"TW-003","table":"tows","value":null,"version":1},{"field":"human_approval_ref","record_id":"TW-003","table":"tows","value":null,"version":1}]</t>
  </si>
  <si>
    <t>OPS-TOW-REFS-REVIEW-39710ea5849e</t>
  </si>
  <si>
    <t>tow_refs_review</t>
  </si>
  <si>
    <t>Revisar referencias de grúa · TW-003</t>
  </si>
  <si>
    <t>Solicitud abierta sin ambas referencias humanas declaradas.</t>
  </si>
  <si>
    <t>Confirmar seguridad y autorización con una persona; documentar referencias válidas antes de considerar despacho.</t>
  </si>
  <si>
    <t>OPS-INTAKE-FOLLOWUP-30dfd88bb7fe</t>
  </si>
  <si>
    <t>intake_followup</t>
  </si>
  <si>
    <t>Revisar solicitud · L-001</t>
  </si>
  <si>
    <t>P2</t>
  </si>
  <si>
    <t>Recepción</t>
  </si>
  <si>
    <t>Solicitud abierta con seguimiento pendiente según la fecha declarada.</t>
  </si>
  <si>
    <t>Consultar historial y autorización de contacto; asignar seguimiento humano y registrar el resultado.</t>
  </si>
  <si>
    <t>["leads:L-001","customers:C-001"]</t>
  </si>
  <si>
    <t>[{"field":"status","record_id":"L-001","table":"leads","value":"new","version":1},{"field":"follow_up_at","record_id":"L-001","table":"leads","value":"2026-09-20T17:00:00Z","version":1},{"field":"channel","record_id":"L-001","table":"leads","value":"web","version":1},{"field":"segment","record_id":"C-001","table":"customers","value":"particular","version":1}]</t>
  </si>
  <si>
    <t>OPS-OVERDUE-AR-0628026a2d65</t>
  </si>
  <si>
    <t>Conciliar saldo vencido · INV-H030</t>
  </si>
  <si>
    <t>Saldo positivo conciliado de 82500 centavos; 9 días calendario desde vencimiento.</t>
  </si>
  <si>
    <t>["invoices:INV-H030","payments:PAY-H030"]</t>
  </si>
  <si>
    <t>[{"field":"status","record_id":"INV-H030","table":"invoices","value":"issued","version":1},{"field":"amount_cents","record_id":"INV-H030","table":"invoices","value":165000,"version":1},{"field":"due_at","record_id":"INV-H030","table":"invoices","value":"2026-09-12T10:00:00Z","version":1},{"field":"invoice_id","record_id":"PAY-H030","table":"payments","value":"INV-H030","version":1},{"field":"amount_cents","record_id":"PAY-H030","table":"payments","value":82500,"version":1},{"field":"paid_at","record_id":"PAY-H030","table":"payments","value":"2026-09-07T10:00:00Z","version":1}]</t>
  </si>
  <si>
    <t>OPS-OVERDUE-AR-30a633727f96</t>
  </si>
  <si>
    <t>Conciliar saldo vencido · INV-H015</t>
  </si>
  <si>
    <t>Saldo positivo conciliado de 57500 centavos; 1 días calendario desde vencimiento.</t>
  </si>
  <si>
    <t>["invoices:INV-H015","payments:PAY-H015"]</t>
  </si>
  <si>
    <t>[{"field":"status","record_id":"INV-H015","table":"invoices","value":"issued","version":1},{"field":"amount_cents","record_id":"INV-H015","table":"invoices","value":115000,"version":1},{"field":"due_at","record_id":"INV-H015","table":"invoices","value":"2026-09-20T11:00:00Z","version":1},{"field":"invoice_id","record_id":"PAY-H015","table":"payments","value":"INV-H015","version":1},{"field":"amount_cents","record_id":"PAY-H015","table":"payments","value":57500,"version":1},{"field":"paid_at","record_id":"PAY-H015","table":"payments","value":"2026-09-15T11:00:00Z","version":1}]</t>
  </si>
  <si>
    <t>OPS-OVERDUE-AR-49a6b2ec736f</t>
  </si>
  <si>
    <t>Conciliar saldo vencido · INV-H021</t>
  </si>
  <si>
    <t>Saldo positivo conciliado de 95000 centavos; 4 días calendario desde vencimiento.</t>
  </si>
  <si>
    <t>["invoices:INV-H021","payments:PAY-H021"]</t>
  </si>
  <si>
    <t>[{"field":"status","record_id":"INV-H021","table":"invoices","value":"issued","version":1},{"field":"amount_cents","record_id":"INV-H021","table":"invoices","value":190000,"version":1},{"field":"due_at","record_id":"INV-H021","table":"invoices","value":"2026-09-17T03:00:00Z","version":1},{"field":"invoice_id","record_id":"PAY-H021","table":"payments","value":"INV-H021","version":1},{"field":"amount_cents","record_id":"PAY-H021","table":"payments","value":95000,"version":1},{"field":"paid_at","record_id":"PAY-H021","table":"payments","value":"2026-09-12T03:00:00Z","version":1}]</t>
  </si>
  <si>
    <t>OPS-OVERDUE-AR-4a770856241c</t>
  </si>
  <si>
    <t>Conciliar saldo vencido · INV-001</t>
  </si>
  <si>
    <t>Saldo positivo conciliado de 85000 centavos; 1 días calendario desde vencimiento.</t>
  </si>
  <si>
    <t>["invoices:INV-001","payments:PAY-001"]</t>
  </si>
  <si>
    <t>[{"field":"status","record_id":"INV-001","table":"invoices","value":"issued","version":1},{"field":"amount_cents","record_id":"INV-001","table":"invoices","value":185000,"version":1},{"field":"due_at","record_id":"INV-001","table":"invoices","value":"2026-09-20T00:00:00Z","version":1},{"field":"invoice_id","record_id":"PAY-001","table":"payments","value":"INV-001","version":1},{"field":"amount_cents","record_id":"PAY-001","table":"payments","value":100000,"version":1},{"field":"paid_at","record_id":"PAY-001","table":"payments","value":"2026-09-21T15:00:00Z","version":1}]</t>
  </si>
  <si>
    <t>OPS-OVERDUE-AR-838ae828bfa5</t>
  </si>
  <si>
    <t>Conciliar saldo vencido · INV-H039</t>
  </si>
  <si>
    <t>Saldo positivo conciliado de 70000 centavos; 14 días calendario desde vencimiento.</t>
  </si>
  <si>
    <t>["invoices:INV-H039","payments:PAY-H039"]</t>
  </si>
  <si>
    <t>[{"field":"status","record_id":"INV-H039","table":"invoices","value":"issued","version":1},{"field":"amount_cents","record_id":"INV-H039","table":"invoices","value":140000,"version":1},{"field":"due_at","record_id":"INV-H039","table":"invoices","value":"2026-09-07T17:00:00Z","version":1},{"field":"invoice_id","record_id":"PAY-H039","table":"payments","value":"INV-H039","version":1},{"field":"amount_cents","record_id":"PAY-H039","table":"payments","value":70000,"version":1},{"field":"paid_at","record_id":"PAY-H039","table":"payments","value":"2026-09-02T17:00:00Z","version":1}]</t>
  </si>
  <si>
    <t>OPS-OVERDUE-AR-93c44aa4b61e</t>
  </si>
  <si>
    <t>Conciliar saldo vencido · INV-H018</t>
  </si>
  <si>
    <t>Saldo positivo conciliado de 76250 centavos; 0 días calendario desde vencimiento.</t>
  </si>
  <si>
    <t>["invoices:INV-H018","payments:PAY-H018"]</t>
  </si>
  <si>
    <t>[{"field":"status","record_id":"INV-H018","table":"invoices","value":"issued","version":1},{"field":"amount_cents","record_id":"INV-H018","table":"invoices","value":152500,"version":1},{"field":"due_at","record_id":"INV-H018","table":"invoices","value":"2026-09-21T00:00:00Z","version":1},{"field":"invoice_id","record_id":"PAY-H018","table":"payments","value":"INV-H018","version":1},{"field":"amount_cents","record_id":"PAY-H018","table":"payments","value":76250,"version":1},{"field":"paid_at","record_id":"PAY-H018","table":"payments","value":"2026-09-16T00:00:00Z","version":1}]</t>
  </si>
  <si>
    <t>OPS-OVERDUE-AR-a5fd42b656f3</t>
  </si>
  <si>
    <t>Conciliar saldo vencido · INV-H024</t>
  </si>
  <si>
    <t>Saldo positivo conciliado de 45000 centavos; 6 días calendario desde vencimiento.</t>
  </si>
  <si>
    <t>["invoices:INV-H024","payments:PAY-H024"]</t>
  </si>
  <si>
    <t>[{"field":"status","record_id":"INV-H024","table":"invoices","value":"issued","version":1},{"field":"amount_cents","record_id":"INV-H024","table":"invoices","value":90000,"version":1},{"field":"due_at","record_id":"INV-H024","table":"invoices","value":"2026-09-15T18:00:00Z","version":1},{"field":"invoice_id","record_id":"PAY-H024","table":"payments","value":"INV-H024","version":1},{"field":"amount_cents","record_id":"PAY-H024","table":"payments","value":45000,"version":1},{"field":"paid_at","record_id":"PAY-H024","table":"payments","value":"2026-09-10T18:00:00Z","version":1}]</t>
  </si>
  <si>
    <t>OPS-OVERDUE-AR-c818acf3d4f5</t>
  </si>
  <si>
    <t>Conciliar saldo vencido · INV-H027</t>
  </si>
  <si>
    <t>Saldo positivo conciliado de 63750 centavos; 5 días calendario desde vencimiento.</t>
  </si>
  <si>
    <t>["invoices:INV-H027","payments:PAY-H027"]</t>
  </si>
  <si>
    <t>[{"field":"status","record_id":"INV-H027","table":"invoices","value":"issued","version":1},{"field":"amount_cents","record_id":"INV-H027","table":"invoices","value":127500,"version":1},{"field":"due_at","record_id":"INV-H027","table":"invoices","value":"2026-09-16T00:00:00Z","version":1},{"field":"invoice_id","record_id":"PAY-H027","table":"payments","value":"INV-H027","version":1},{"field":"amount_cents","record_id":"PAY-H027","table":"payments","value":63750,"version":1},{"field":"paid_at","record_id":"PAY-H027","table":"payments","value":"2026-09-11T00:00:00Z","version":1}]</t>
  </si>
  <si>
    <t>OPS-OVERDUE-AR-ca18c59d4698</t>
  </si>
  <si>
    <t>Conciliar saldo vencido · INV-H036</t>
  </si>
  <si>
    <t>Saldo positivo conciliado de 51250 centavos; 10 días calendario desde vencimiento.</t>
  </si>
  <si>
    <t>["invoices:INV-H036","payments:PAY-H036"]</t>
  </si>
  <si>
    <t>[{"field":"status","record_id":"INV-H036","table":"invoices","value":"issued","version":1},{"field":"amount_cents","record_id":"INV-H036","table":"invoices","value":102500,"version":1},{"field":"due_at","record_id":"INV-H036","table":"invoices","value":"2026-09-11T00:00:00Z","version":1},{"field":"invoice_id","record_id":"PAY-H036","table":"payments","value":"INV-H036","version":1},{"field":"amount_cents","record_id":"PAY-H036","table":"payments","value":51250,"version":1},{"field":"paid_at","record_id":"PAY-H036","table":"payments","value":"2026-09-06T00:00:00Z","version":1}]</t>
  </si>
  <si>
    <t>OPS-OVERDUE-AR-d1a0407cb932</t>
  </si>
  <si>
    <t>Conciliar saldo vencido · INV-H033</t>
  </si>
  <si>
    <t>Saldo positivo conciliado de 32500 centavos; 10 días calendario desde vencimiento.</t>
  </si>
  <si>
    <t>["invoices:INV-H033","payments:PAY-H033"]</t>
  </si>
  <si>
    <t>[{"field":"status","record_id":"INV-H033","table":"invoices","value":"issued","version":1},{"field":"amount_cents","record_id":"INV-H033","table":"invoices","value":65000,"version":1},{"field":"due_at","record_id":"INV-H033","table":"invoices","value":"2026-09-11T01:00:00Z","version":1},{"field":"invoice_id","record_id":"PAY-H033","table":"payments","value":"INV-H033","version":1},{"field":"amount_cents","record_id":"PAY-H033","table":"payments","value":32500,"version":1},{"field":"paid_at","record_id":"PAY-H033","table":"payments","value":"2026-09-06T01:00:00Z","version":1}]</t>
  </si>
  <si>
    <t>OPS-QUOTE-EXPIRED-cf265a37a048</t>
  </si>
  <si>
    <t>quote_expired</t>
  </si>
  <si>
    <t>Revisar cotización caducada · Q-010</t>
  </si>
  <si>
    <t>La vigencia declarada pasó y la cotización no consta aceptada.</t>
  </si>
  <si>
    <t>Verificar si existe una versión vigente y confirmar condiciones antes de nuevo contacto o precio.</t>
  </si>
  <si>
    <t>["quotes:Q-010"]</t>
  </si>
  <si>
    <t>[{"field":"status","record_id":"Q-010","table":"quotes","value":"sent","version":1},{"field":"valid_until","record_id":"Q-010","table":"quotes","value":"2026-09-20T00:00:00Z","version":1},{"field":"authorization_ref","record_id":"Q-010","table":"quotes","value":null,"version":1}]</t>
  </si>
  <si>
    <t>OPS-REORDER-REVIEW-038eaa220113</t>
  </si>
  <si>
    <t>Revisar parte · P-003</t>
  </si>
  <si>
    <t>Disponibles 1 unidades; punto de reposición 2.</t>
  </si>
  <si>
    <t>["mart_inventory:P-003","parts:P-003"]</t>
  </si>
  <si>
    <t>[{"field":"on_hand","record_id":"P-003","table":"mart_inventory","value":1,"version":null},{"field":"reserved","record_id":"P-003","table":"mart_inventory","value":0,"version":null},{"field":"available","record_id":"P-003","table":"mart_inventory","value":1,"version":null},{"field":"reorder_point","record_id":"P-003","table":"mart_inventory","value":2,"version":null},{"field":"reorder_point","record_id":"P-003","table":"parts","value":2,"version":1}]</t>
  </si>
  <si>
    <t>OPS-WAITING-PARTS-d7f7ca52a9e8</t>
  </si>
  <si>
    <t>waiting_parts</t>
  </si>
  <si>
    <t>Desbloquear partes · WO-003</t>
  </si>
  <si>
    <t>La orden espera partes.</t>
  </si>
  <si>
    <t>Verificar qué parte falta, reservas y compras recibidas; acordar responsable y próxima revisión.</t>
  </si>
  <si>
    <t>["work_orders:WO-003"]</t>
  </si>
  <si>
    <t>[{"field":"status","record_id":"WO-003","table":"work_orders","value":"waiting_parts","version":1},{"field":"due_at","record_id":"WO-003","table":"work_orders","value":"2026-09-23T20:00:00Z","version":1},{"field":"block_reason","record_id":"WO-003","table":"work_orders","value":"Falta filtro","version":1},{"field":"qc_ref","record_id":"WO-003","table":"work_orders","value":null,"version":1}]</t>
  </si>
  <si>
    <t>AGT-7348ec86e44c623e</t>
  </si>
  <si>
    <t>intake_review</t>
  </si>
  <si>
    <t>Revisar borrador · Recepción · followup</t>
  </si>
  <si>
    <t>review</t>
  </si>
  <si>
    <t>Línea base determinística o respuesta no verificada; requiere criterio humano. Línea base offline por reglas: leads:L-001 tiene status='new' en la versión 1; revíselo con la cola acotada (open_leads=4, pending_appointments=1, M-B2C-LEADS=112, M-B2C-WON=0.964286, M-B2C-QUOTE-MATCH=0.964286). Borrador de corrida sin asignación explícita a un caso; sustentado por 12 referencias en 12 entidades. Métricas relacionadas: M-B2C-LEADS, M-B2C-WON, M-B2C-QUOTE-MATCH. Propuesta pendiente; no acredita aprobación ni ejecución.</t>
  </si>
  <si>
    <t>Una persona revisora confirma el valor citado y su contexto.</t>
  </si>
  <si>
    <t>["appointments:A-002","appointments:A-H159","appointments:A-H160","customers:C-001","customers:C-002","customers:C-003","leads:L-001","leads:L-002","leads:L-003","quotes:Q-009","quotes:Q-010","quotes:Q-H160"]</t>
  </si>
  <si>
    <t>[{"field":"status","record_id":"L-001","snapshot_id":"65369f3ee5e5c62b83ad59af86b10496753838869968053aaee6777a8db654d7","table":"leads","value":"new","version":1},{"field":"status","record_id":"L-002","snapshot_id":"65369f3ee5e5c62b83ad59af86b10496753838869968053aaee6777a8db654d7","table":"leads","value":"qualified","version":1},{"field":"status","record_id":"L-003","snapshot_id":"65369f3ee5e5c62b83ad59af86b10496753838869968053aaee6777a8db654d7","table":"leads","value":"quoted","version":1},{"field":"status","record_id":"Q-010","snapshot_id":"65369f3ee5e5c62b83ad59af86b10496753838869968053aaee6777a8db654d7","table":"quotes","value":"sent","version":1},{"field":"status","record_id":"Q-009","snapshot_id":"65369f3ee5e5c62b83ad59af86b10496753838869968053aaee6777a8db654d7","table":"quotes","value":"sent","version":1},{"field":"status","record_id":"Q-H160","snapshot_id":"65369f3ee5e5c62b83ad59af86b10496753838869968053aaee6777a8db654d7","table":"quotes","value":"accepted","version":1},{"field":"status","record_id":"A-002","snapshot_id":"65369f3ee5e5c62b83ad59af86b10496753838869968053aaee6777a8db654d7","table":"appointments","value":"pending","version":1},{"field":"status","record_id":"A-H160","snapshot_id":"65369f3ee5e5c62b83ad59af86b10496753838869968053aaee6777a8db654d7","table":"appointments","value":"arrived","version":1},{"field":"status","record_id":"A-H159","snapshot_id":"65369f3ee5e5c62b83ad59af86b10496753838869968053aaee6777a8db654d7","table":"appointments","value":"arrived","version":1},{"field":"consent","record_id":"C-001","snapshot_id":"65369f3ee5e5c62b83ad59af86b10496753838869968053aaee6777a8db654d7","table":"customers","value":1,"version":1},{"field":"consent","record_id":"C-002","snapshot_id":"65369f3ee5e5c62b83ad59af86b10496753838869968053aaee6777a8db654d7","table":"customers","value":1,"version":1},{"field":"consent","record_id":"C-003","snapshot_id":"65369f3ee5e5c62b83ad59af86b10496753838869968053aaee6777a8db654d7","table":"customers","value":0,"version":1},{"process_id":"b2c_workshop","source":"specs/agent_operating_contract.json"}]</t>
  </si>
  <si>
    <t>AGT-ffbf352d8fc75e26</t>
  </si>
  <si>
    <t>workshop_review</t>
  </si>
  <si>
    <t>Revisar borrador · Control de taller / partes · followup</t>
  </si>
  <si>
    <t>Control de taller / partes</t>
  </si>
  <si>
    <t>Línea base determinística o respuesta no verificada; requiere criterio humano. Línea base offline por reglas: work_orders:WO-003 tiene status='waiting_parts' en la versión 1; revíselo con la cola acotada (open_work_orders=7, waiting_parts=1, busy_bays=4, M-WIP-OPEN=7, M-WIP-WAITING-PARTS=0.142857, M-BAY-OCCUPANCY=1.0, M-SERVICE-CYCLE=12.0, M-PROCESS-WAIT=2715.002, M-STOCK-ON-HAND=53, M-STOCK-RESERVED=1, M-STOCK-AVAILABLE=52, M-STOCK-REORDER=0.666667). Borrador de corrida sin asignación explícita a un caso; sustentado por 10 referencias en 10 entidades. Métricas relacionadas: M-WIP-OPEN, M-WIP-WAITING-PARTS, M-BAY-OCCUPANCY, M-SERVICE-CYCLE, M-PROCESS-WAIT, M-STOCK-ON-HAND, M-STOCK-RESERVED, M-STOCK-AVAILABLE, M-STOCK-REORDER. Propuesta pendiente; no acredita aprobación ni ejecución.</t>
  </si>
  <si>
    <t>["bays:B-001","bays:B-002","parts:P-001","parts:P-002","reservations:RS-001","reservations:RS-002","stock_moves:SM-001","stock_moves:SM-002","work_orders:WO-003","work_orders:WO-004"]</t>
  </si>
  <si>
    <t>[{"field":"status","record_id":"WO-003","snapshot_id":"65369f3ee5e5c62b83ad59af86b10496753838869968053aaee6777a8db654d7","table":"work_orders","value":"waiting_parts","version":1},{"field":"status","record_id":"WO-004","snapshot_id":"65369f3ee5e5c62b83ad59af86b10496753838869968053aaee6777a8db654d7","table":"work_orders","value":"rework","version":1},{"field":"name","record_id":"B-001","snapshot_id":"65369f3ee5e5c62b83ad59af86b10496753838869968053aaee6777a8db654d7","table":"bays","value":"Bahía 1","version":1},{"field":"name","record_id":"B-002","snapshot_id":"65369f3ee5e5c62b83ad59af86b10496753838869968053aaee6777a8db654d7","table":"bays","value":"Bahía 2","version":1},{"field":"sku","record_id":"P-001","snapshot_id":"65369f3ee5e5c62b83ad59af86b10496753838869968053aaee6777a8db654d7","table":"parts","value":"SKU-001","version":1},{"field":"sku","record_id":"P-002","snapshot_id":"65369f3ee5e5c62b83ad59af86b10496753838869968053aaee6777a8db654d7","table":"parts","value":"SKU-002","version":1},{"field":"status","record_id":"RS-001","snapshot_id":"65369f3ee5e5c62b83ad59af86b10496753838869968053aaee6777a8db654d7","table":"reservations","value":"consumed","version":1},{"field":"status","record_id":"RS-002","snapshot_id":"65369f3ee5e5c62b83ad59af86b10496753838869968053aaee6777a8db654d7","table":"reservations","value":"reserved","version":1},{"field":"part_id","record_id":"SM-001","snapshot_id":"65369f3ee5e5c62b83ad59af86b10496753838869968053aaee6777a8db654d7","table":"stock_moves","value":"P-001","version":1},{"field":"part_id","record_id":"SM-002","snapshot_id":"65369f3ee5e5c62b83ad59af86b10496753838869968053aaee6777a8db654d7","table":"stock_moves","value":"P-001","version":1},{"process_id":"b2c_workshop","source":"specs/agent_operating_contract.json"},{"process_id":"parts_procurement","source":"specs/agent_operating_contract.json"}]</t>
  </si>
  <si>
    <t>AGT-ed674b46b7b08d8e</t>
  </si>
  <si>
    <t>maintenance_review</t>
  </si>
  <si>
    <t>Revisar borrador · Responsable de flotilla · followup</t>
  </si>
  <si>
    <t>Responsable de flotilla</t>
  </si>
  <si>
    <t>Línea base determinística o respuesta no verificada; requiere criterio humano. Línea base offline por reglas: maintenance:M-001 tiene status='scheduled' en la versión 1; revíselo con la cola acotada (maintenance_due=3, open_work_orders=7, M-FLEET-MAINTENANCE=0, M-FLEET-ACTIVE-CONTRACTS=1, M-SERVICE-CYCLE=12.0). Borrador de corrida sin asignación explícita a un caso; sustentado por 11 referencias en 11 entidades. Métricas relacionadas: M-FLEET-MAINTENANCE, M-FLEET-ACTIVE-CONTRACTS, M-SERVICE-CYCLE. Propuesta pendiente; no acredita aprobación ni ejecución.</t>
  </si>
  <si>
    <t>["contracts:CT-001","contracts:CT-002","maintenance:M-001","maintenance:M-002","maintenance:M-003","vehicles:V-001","vehicles:V-002","vehicles:V-003","work_orders:WO-002","work_orders:WO-003","work_orders:WO-004"]</t>
  </si>
  <si>
    <t>[{"field":"status","record_id":"M-001","snapshot_id":"65369f3ee5e5c62b83ad59af86b10496753838869968053aaee6777a8db654d7","table":"maintenance","value":"scheduled","version":1},{"field":"status","record_id":"M-002","snapshot_id":"65369f3ee5e5c62b83ad59af86b10496753838869968053aaee6777a8db654d7","table":"maintenance","value":"due","version":1},{"field":"status","record_id":"M-003","snapshot_id":"65369f3ee5e5c62b83ad59af86b10496753838869968053aaee6777a8db654d7","table":"maintenance","value":"due","version":1},{"field":"customer_id","record_id":"V-001","snapshot_id":"65369f3ee5e5c62b83ad59af86b10496753838869968053aaee6777a8db654d7","table":"vehicles","value":"C-001","version":1},{"field":"customer_id","record_id":"V-002","snapshot_id":"65369f3ee5e5c62b83ad59af86b10496753838869968053aaee6777a8db654d7","table":"vehicles","value":"C-002","version":1},{"field":"customer_id","record_id":"V-003","snapshot_id":"65369f3ee5e5c62b83ad59af86b10496753838869968053aaee6777a8db654d7","table":"vehicles","value":"C-003","version":1},{"field":"status","record_id":"CT-001","snapshot_id":"65369f3ee5e5c62b83ad59af86b10496753838869968053aaee6777a8db654d7","table":"contracts","value":"active","version":1},{"field":"status","record_id":"CT-002","snapshot_id":"65369f3ee5e5c62b83ad59af86b10496753838869968053aaee6777a8db654d7","table":"contracts","value":"expired","version":1},{"field":"status","record_id":"WO-003","snapshot_id":"65369f3ee5e5c62b83ad59af86b10496753838869968053aaee6777a8db654d7","table":"work_orders","value":"waiting_parts","version":1},{"field":"status","record_id":"WO-004","snapshot_id":"65369f3ee5e5c62b83ad59af86b10496753838869968053aaee6777a8db654d7","table":"work_orders","value":"rework","version":1},{"field":"status","record_id":"WO-002","snapshot_id":"65369f3ee5e5c62b83ad59af86b10496753838869968053aaee6777a8db654d7","table":"work_orders","value":"in_service","version":1},{"process_id":"fleet_sales_service","source":"specs/agent_operating_contract.json"}]</t>
  </si>
  <si>
    <t>AGT-0808a439f89a78a3</t>
  </si>
  <si>
    <t>fleet_research</t>
  </si>
  <si>
    <t>Revisar borrador · Ventas B2B · followup</t>
  </si>
  <si>
    <t>Ventas B2B</t>
  </si>
  <si>
    <t>Línea base determinística o respuesta no verificada; requiere criterio humano. Línea base offline por reglas: opportunities:OP-001 tiene status='proposal' en la versión 1; revíselo con la cola acotada (open_opportunities=2, active_contracts=1, M-FLEET-OPEN-OPPS=2, M-FLEET-PIPELINE=2030000, M-FLEET-ACCOUNT-COVERAGE=1.0, M-FLEET-ACTIVE-CONTRACTS=1). Borrador de corrida sin asignación explícita a un caso; sustentado por 9 referencias en 9 entidades. Métricas relacionadas: M-FLEET-OPEN-OPPS, M-FLEET-PIPELINE, M-FLEET-ACCOUNT-COVERAGE, M-FLEET-ACTIVE-CONTRACTS. Propuesta pendiente; no acredita aprobación ni ejecución.</t>
  </si>
  <si>
    <t>["contacts:CTC-001","contacts:CTC-002","contacts:CTC-003","contracts:CT-001","contracts:CT-002","fleet_accounts:FA-001","fleet_accounts:FA-002","opportunities:OP-001","opportunities:OP-002"]</t>
  </si>
  <si>
    <t>[{"field":"status","record_id":"OP-001","snapshot_id":"65369f3ee5e5c62b83ad59af86b10496753838869968053aaee6777a8db654d7","table":"opportunities","value":"proposal","version":1},{"field":"status","record_id":"OP-002","snapshot_id":"65369f3ee5e5c62b83ad59af86b10496753838869968053aaee6777a8db654d7","table":"opportunities","value":"qualified","version":1},{"field":"customer_id","record_id":"FA-001","snapshot_id":"65369f3ee5e5c62b83ad59af86b10496753838869968053aaee6777a8db654d7","table":"fleet_accounts","value":"C-009","version":1},{"field":"customer_id","record_id":"FA-002","snapshot_id":"65369f3ee5e5c62b83ad59af86b10496753838869968053aaee6777a8db654d7","table":"fleet_accounts","value":"C-010","version":1},{"field":"status","record_id":"CT-001","snapshot_id":"65369f3ee5e5c62b83ad59af86b10496753838869968053aaee6777a8db654d7","table":"contracts","value":"active","version":1},{"field":"status","record_id":"CT-002","snapshot_id":"65369f3ee5e5c62b83ad59af86b10496753838869968053aaee6777a8db654d7","table":"contracts","value":"expired","version":1},{"field":"consent","record_id":"CTC-001","snapshot_id":"65369f3ee5e5c62b83ad59af86b10496753838869968053aaee6777a8db654d7","table":"contacts","value":1,"version":1},{"field":"consent","record_id":"CTC-002","snapshot_id":"65369f3ee5e5c62b83ad59af86b10496753838869968053aaee6777a8db654d7","table":"contacts","value":1,"version":1},{"field":"consent","record_id":"CTC-003","snapshot_id":"65369f3ee5e5c62b83ad59af86b10496753838869968053aaee6777a8db654d7","table":"contacts","value":1,"version":1},{"process_id":"fleet_sales_service","source":"specs/agent_operating_contract.json"}]</t>
  </si>
  <si>
    <t>AGT-e69d1cac120a3e5c</t>
  </si>
  <si>
    <t>fleet_service_review</t>
  </si>
  <si>
    <t>Línea base determinística o respuesta no verificada; requiere criterio humano. Línea base offline por reglas: contracts:CT-001 tiene status='active' en la versión 1; revíselo con la cola acotada (active_contracts=1, open_work_orders=7, M-FLEET-SLA-ELIGIBILITY=0.509434, M-FLEET-SLA-RISK=unknown, M-FLEET-MAINTENANCE=0, M-FLEET-ACTIVE-CONTRACTS=1, M-SERVICE-CYCLE=12.0, M-AR-RECEIVABLE=3901250). Borrador de corrida sin asignación explícita a un caso; sustentado por 12 referencias en 12 entidades. Métricas relacionadas: M-FLEET-SLA-ELIGIBILITY, M-FLEET-SLA-RISK, M-FLEET-MAINTENANCE, M-FLEET-ACTIVE-CONTRACTS, M-SERVICE-CYCLE, M-AR-RECEIVABLE. Propuesta pendiente; no acredita aprobación ni ejecución.</t>
  </si>
  <si>
    <t>["contracts:CT-001","work_orders:WO-H094","work_orders:WO-H105","work_orders:WO-H106","work_orders:WO-H117","work_orders:WO-H118","work_orders:WO-H129","work_orders:WO-H130","work_orders:WO-H141","work_orders:WO-H142","work_orders:WO-H153","work_orders:WO-H154"]</t>
  </si>
  <si>
    <t>[{"field":"status","record_id":"CT-001","snapshot_id":"65369f3ee5e5c62b83ad59af86b10496753838869968053aaee6777a8db654d7","table":"contracts","value":"active","version":1},{"field":"status","record_id":"WO-H154","snapshot_id":"65369f3ee5e5c62b83ad59af86b10496753838869968053aaee6777a8db654d7","table":"work_orders","value":"delivered","version":1},{"field":"status","record_id":"WO-H153","snapshot_id":"65369f3ee5e5c62b83ad59af86b10496753838869968053aaee6777a8db654d7","table":"work_orders","value":"delivered","version":1},{"field":"status","record_id":"WO-H142","snapshot_id":"65369f3ee5e5c62b83ad59af86b10496753838869968053aaee6777a8db654d7","table":"work_orders","value":"delivered","version":1},{"field":"status","record_id":"WO-H141","snapshot_id":"65369f3ee5e5c62b83ad59af86b10496753838869968053aaee6777a8db654d7","table":"work_orders","value":"delivered","version":1},{"field":"status","record_id":"WO-H130","snapshot_id":"65369f3ee5e5c62b83ad59af86b10496753838869968053aaee6777a8db654d7","table":"work_orders","value":"delivered","version":1},{"field":"status","record_id":"WO-H129","snapshot_id":"65369f3ee5e5c62b83ad59af86b10496753838869968053aaee6777a8db654d7","table":"work_orders","value":"delivered","version":1},{"field":"status","record_id":"WO-H118","snapshot_id":"65369f3ee5e5c62b83ad59af86b10496753838869968053aaee6777a8db654d7","table":"work_orders","value":"delivered","version":1},{"field":"status","record_id":"WO-H117","snapshot_id":"65369f3ee5e5c62b83ad59af86b10496753838869968053aaee6777a8db654d7","table":"work_orders","value":"delivered","version":1},{"field":"status","record_id":"WO-H106","snapshot_id":"65369f3ee5e5c62b83ad59af86b10496753838869968053aaee6777a8db654d7","table":"work_orders","value":"delivered","version":1},{"field":"status","record_id":"WO-H105","snapshot_id":"65369f3ee5e5c62b83ad59af86b10496753838869968053aaee6777a8db654d7","table":"work_orders","value":"delivered","version":1},{"field":"status","record_id":"WO-H094","snapshot_id":"65369f3ee5e5c62b83ad59af86b10496753838869968053aaee6777a8db654d7","table":"work_orders","value":"delivered","version":1},{"process_id":"fleet_sales_service","source":"specs/agent_operating_contract.json"}]</t>
  </si>
  <si>
    <t>AGT-b4ccc805e9c0f10f</t>
  </si>
  <si>
    <t>tow_evidence_review</t>
  </si>
  <si>
    <t>Revisar borrador · Coordinación de grúa · followup</t>
  </si>
  <si>
    <t>Coordinación de grúa</t>
  </si>
  <si>
    <t>Línea base determinística o respuesta no verificada; requiere criterio humano. Línea base offline por reglas: tows:TW-002 tiene status='en_route' en la versión 1; revíselo con la cola acotada (active_tows=2, M-TOW-OPEN=2, M-TOW-HUMAN-REFS=0.6, M-TOW-CLOSE-HOURS=4.0). Borrador de corrida sin asignación explícita a un caso; sustentado por 12 referencias en 12 entidades. Métricas relacionadas: M-TOW-OPEN, M-TOW-HUMAN-REFS, M-TOW-CLOSE-HOURS. Propuesta pendiente; no acredita aprobación ni ejecución.</t>
  </si>
  <si>
    <t>["customers:C-001","customers:C-002","customers:C-003","tow_units:TU-001","tow_units:TU-002","tow_units:TU-003","tows:TW-001","tows:TW-002","tows:TW-003","vehicles:V-001","vehicles:V-002","vehicles:V-003"]</t>
  </si>
  <si>
    <t>[{"field":"status","record_id":"TW-002","snapshot_id":"65369f3ee5e5c62b83ad59af86b10496753838869968053aaee6777a8db654d7","table":"tows","value":"en_route","version":1},{"field":"status","record_id":"TW-003","snapshot_id":"65369f3ee5e5c62b83ad59af86b10496753838869968053aaee6777a8db654d7","table":"tows","value":"requested","version":1},{"field":"status","record_id":"TW-001","snapshot_id":"65369f3ee5e5c62b83ad59af86b10496753838869968053aaee6777a8db654d7","table":"tows","value":"closed","version":1},{"field":"name","record_id":"TU-001","snapshot_id":"65369f3ee5e5c62b83ad59af86b10496753838869968053aaee6777a8db654d7","table":"tow_units","value":"Grúa demo 1","version":1},{"field":"name","record_id":"TU-002","snapshot_id":"65369f3ee5e5c62b83ad59af86b10496753838869968053aaee6777a8db654d7","table":"tow_units","value":"Grúa demo 2","version":1},{"field":"name","record_id":"TU-003","snapshot_id":"65369f3ee5e5c62b83ad59af86b10496753838869968053aaee6777a8db654d7","table":"tow_units","value":"Grúa demo 3","version":1},{"field":"customer_id","record_id":"V-001","snapshot_id":"65369f3ee5e5c62b83ad59af86b10496753838869968053aaee6777a8db654d7","table":"vehicles","value":"C-001","version":1},{"field":"customer_id","record_id":"V-002","snapshot_id":"65369f3ee5e5c62b83ad59af86b10496753838869968053aaee6777a8db654d7","table":"vehicles","value":"C-002","version":1},{"field":"customer_id","record_id":"V-003","snapshot_id":"65369f3ee5e5c62b83ad59af86b10496753838869968053aaee6777a8db654d7","table":"vehicles","value":"C-003","version":1},{"field":"consent","record_id":"C-001","snapshot_id":"65369f3ee5e5c62b83ad59af86b10496753838869968053aaee6777a8db654d7","table":"customers","value":1,"version":1},{"field":"consent","record_id":"C-002","snapshot_id":"65369f3ee5e5c62b83ad59af86b10496753838869968053aaee6777a8db654d7","table":"customers","value":1,"version":1},{"field":"consent","record_id":"C-003","snapshot_id":"65369f3ee5e5c62b83ad59af86b10496753838869968053aaee6777a8db654d7","table":"customers","value":0,"version":1},{"process_id":"towing","source":"specs/agent_operating_contract.json"}]</t>
  </si>
  <si>
    <t>AGT-53fc26f635647fb2</t>
  </si>
  <si>
    <t>finance_review</t>
  </si>
  <si>
    <t>Revisar borrador · Administración · followup</t>
  </si>
  <si>
    <t>Línea base determinística o respuesta no verificada; requiere criterio humano. Línea base offline por reglas: invoices:INV-H160 tiene status='issued' en la versión 1; revíselo con la cola acotada (issued_invoices=164, unpaid_invoices=56, invoice_payment_summary=[{'invoice_id': 'INV-H159', 'amount_cents': 127500, 'paid_cents': 63750, 'balance_cents': 63750, 'payment_count': 1}, {'invoice_id': 'INV-H156', 'amount_cents': 90000, 'paid_cents': 45000, 'balance_cents': 45000, 'payment_count': 1}, {'invoice_id': 'INV-H160', 'amount_cents': 140000, 'paid_cents': 140000, 'balance_cents': 0, 'payment_count': 1}, {'invoice_id': 'INV-H158', 'amount_cents': 115000, 'paid_cents': 115000, 'balance_cents': 0, 'payment_count': 1}, {'invoice_id': 'INV-H157', 'amount_cents': 102500, 'paid_cents': 102500, 'balance_cents': 0, 'payment_count': 1}, {'invoice_id': 'INV-H155', 'amount_cents': 77500, 'paid_cents': 77500, 'balance_cents': 0, 'payment_count': 1}], M-FIN-QUOTES=21593000, M-FIN-INVOICED=20982500, M-FIN-PAID=17081250, M-AR-RECEIVABLE=3901250, M-AR-OVERDUE=3227500, M-FIN-CASH-NET=6652000, M-FIN-EXPENSES=117000). Borrador de corrida sin asignación explícita a un caso; sustentado por 12 referencias en 12 entidades. Métricas relacionadas: M-FIN-QUOTES, M-FIN-INVOICED, M-FIN-PAID, M-AR-RECEIVABLE, M-AR-OVERDUE, M-FIN-CASH-NET, M-FIN-EXPENSES. Propuesta pendiente; no acredita aprobación ni ejecución.</t>
  </si>
  <si>
    <t>["invoices:INV-H155","invoices:INV-H156","invoices:INV-H157","invoices:INV-H158","invoices:INV-H159","invoices:INV-H160","payments:PAY-H155","payments:PAY-H156","payments:PAY-H157","payments:PAY-H158","payments:PAY-H159","payments:PAY-H160"]</t>
  </si>
  <si>
    <t>[{"field":"status","record_id":"INV-H160","snapshot_id":"65369f3ee5e5c62b83ad59af86b10496753838869968053aaee6777a8db654d7","table":"invoices","value":"issued","version":1},{"field":"status","record_id":"INV-H159","snapshot_id":"65369f3ee5e5c62b83ad59af86b10496753838869968053aaee6777a8db654d7","table":"invoices","value":"issued","version":1},{"field":"status","record_id":"INV-H158","snapshot_id":"65369f3ee5e5c62b83ad59af86b10496753838869968053aaee6777a8db654d7","table":"invoices","value":"issued","version":1},{"field":"status","record_id":"INV-H157","snapshot_id":"65369f3ee5e5c62b83ad59af86b10496753838869968053aaee6777a8db654d7","table":"invoices","value":"issued","version":1},{"field":"status","record_id":"INV-H156","snapshot_id":"65369f3ee5e5c62b83ad59af86b10496753838869968053aaee6777a8db654d7","table":"invoices","value":"issued","version":1},{"field":"status","record_id":"INV-H155","snapshot_id":"65369f3ee5e5c62b83ad59af86b10496753838869968053aaee6777a8db654d7","table":"invoices","value":"issued","version":1},{"field":"amount_cents","record_id":"PAY-H160","snapshot_id":"65369f3ee5e5c62b83ad59af86b10496753838869968053aaee6777a8db654d7","table":"payments","value":140000,"version":1},{"field":"amount_cents","record_id":"PAY-H159","snapshot_id":"65369f3ee5e5c62b83ad59af86b10496753838869968053aaee6777a8db654d7","table":"payments","value":63750,"version":1},{"field":"amount_cents","record_id":"PAY-H158","snapshot_id":"65369f3ee5e5c62b83ad59af86b10496753838869968053aaee6777a8db654d7","table":"payments","value":115000,"version":1},{"field":"amount_cents","record_id":"PAY-H157","snapshot_id":"65369f3ee5e5c62b83ad59af86b10496753838869968053aaee6777a8db654d7","table":"payments","value":102500,"version":1},{"field":"amount_cents","record_id":"PAY-H156","snapshot_id":"65369f3ee5e5c62b83ad59af86b10496753838869968053aaee6777a8db654d7","table":"payments","value":45000,"version":1},{"field":"amount_cents","record_id":"PAY-H155","snapshot_id":"65369f3ee5e5c62b83ad59af86b10496753838869968053aaee6777a8db654d7","table":"payments","value":77500,"version":1},{"process_id":"collections","source":"specs/agent_operating_contract.json"}]</t>
  </si>
  <si>
    <t>AGT-17ddfc77c5073c0f</t>
  </si>
  <si>
    <t>growth_review</t>
  </si>
  <si>
    <t>Revisar borrador · Marketing / recepción · followup</t>
  </si>
  <si>
    <t>Marketing / recepción</t>
  </si>
  <si>
    <t>Línea base determinística o respuesta no verificada; requiere criterio humano. Línea base offline por reglas: campaigns:CAM-001 tiene status='review' en la versión 1; revíselo con la cola acotada (review_campaigns=1, M-B2C-LEADS=112, M-B2C-QUOTE-MATCH=0.964286, M-WEEKLY-EXCEPTIONS=unknown, M-WEEKLY-PROPOSALS=2). Borrador de corrida sin asignación explícita a un caso; sustentado por 9 referencias en 9 entidades. Métricas relacionadas: M-B2C-LEADS, M-B2C-QUOTE-MATCH, M-WEEKLY-EXCEPTIONS, M-WEEKLY-PROPOSALS. Propuesta pendiente; no acredita aprobación ni ejecución.</t>
  </si>
  <si>
    <t>["campaigns:CAM-001","campaigns:CAM-002","contacts:CTC-001","contacts:CTC-002","contacts:CTC-003","customers:C-001","customers:C-002","customers:C-003","customers:C-004"]</t>
  </si>
  <si>
    <t>[{"field":"status","record_id":"CAM-001","snapshot_id":"65369f3ee5e5c62b83ad59af86b10496753838869968053aaee6777a8db654d7","table":"campaigns","value":"review","version":1},{"field":"status","record_id":"CAM-002","snapshot_id":"65369f3ee5e5c62b83ad59af86b10496753838869968053aaee6777a8db654d7","table":"campaigns","value":"approved","version":1},{"field":"consent","record_id":"C-001","snapshot_id":"65369f3ee5e5c62b83ad59af86b10496753838869968053aaee6777a8db654d7","table":"customers","value":1,"version":1},{"field":"consent","record_id":"C-002","snapshot_id":"65369f3ee5e5c62b83ad59af86b10496753838869968053aaee6777a8db654d7","table":"customers","value":1,"version":1},{"field":"consent","record_id":"C-003","snapshot_id":"65369f3ee5e5c62b83ad59af86b10496753838869968053aaee6777a8db654d7","table":"customers","value":0,"version":1},{"field":"consent","record_id":"C-004","snapshot_id":"65369f3ee5e5c62b83ad59af86b10496753838869968053aaee6777a8db654d7","table":"customers","value":1,"version":1},{"field":"consent","record_id":"CTC-001","snapshot_id":"65369f3ee5e5c62b83ad59af86b10496753838869968053aaee6777a8db654d7","table":"contacts","value":1,"version":1},{"field":"consent","record_id":"CTC-002","snapshot_id":"65369f3ee5e5c62b83ad59af86b10496753838869968053aaee6777a8db654d7","table":"contacts","value":1,"version":1},{"field":"consent","record_id":"CTC-003","snapshot_id":"65369f3ee5e5c62b83ad59af86b10496753838869968053aaee6777a8db654d7","table":"contacts","value":1,"version":1},{"process_id":"b2c_workshop","source":"specs/agent_operating_contract.json"},{"process_id":"weekly_review","source":"specs/agent_operating_contract.json"}]</t>
  </si>
  <si>
    <t>AGT-cc0a83425f5a15a1</t>
  </si>
  <si>
    <t>weekly_review</t>
  </si>
  <si>
    <t>Revisar borrador · Owner / gerencia · followup</t>
  </si>
  <si>
    <t>Owner / gerencia</t>
  </si>
  <si>
    <t>Línea base determinística o respuesta no verificada; requiere criterio humano. Línea base offline por reglas: work_orders:WO-003 tiene status='waiting_parts' en la versión 1; revíselo con la cola acotada (open_work_orders=7, active_tows=2, unpaid_invoices=56, M-AR-OVERDUE=3227500, M-FLEET-SLA-RISK=unknown, M-TOW-OPEN=2, M-WEEKLY-EXCEPTIONS=unknown, M-WEEKLY-PROPOSALS=2, M-WIP-OPEN=7, M-B2C-LEADS=112, M-B2C-WON=0.964286, M-B2C-QUOTE-MATCH=0.964286, +22 métricas disponibles en el paquete). Borrador de corrida sin asignación explícita a un caso; sustentado por 12 referencias en 12 entidades. Métricas relacionadas: M-AR-OVERDUE, M-FLEET-SLA-RISK, M-TOW-OPEN, M-WEEKLY-EXCEPTIONS, M-WEEKLY-PROPOSALS, M-WIP-OPEN, M-B2C-LEADS, M-B2C-WON, M-B2C-QUOTE-MATCH, M-WIP-WAITING-PARTS, M-BAY-OCCUPANCY, M-SERVICE-CYCLE, M-PROCESS-WAIT, M-STOCK-ON-HAND, M-STOCK-RESERVED, M-STOCK-AVAILABLE, M-STOCK-REORDER, M-FLEET-OPEN-OPPS, M-FLEET-PIPELINE, M-FLEET-ACCOUNT-COVERAGE, M-FLEET-ACTIVE-CONTRACTS, M-FLEET-MAINTENANCE, M-FLEET-SLA-ELIGIBILITY, M-TOW-HUMAN-REFS, M-TOW-CLOSE-HOURS, M-FIN-QUOTES, M-FIN-INVOICED, M-FIN-PAID, M-AR-RECEIVABLE, M-FIN-CASH-NET, M-FIN-EXPENSES. Propuesta pendiente; no acredita aprobación ni ejecución.</t>
  </si>
  <si>
    <t>["campaigns:CAM-001","campaigns:CAM-002","invoices:INV-H159","invoices:INV-H160","maintenance:M-001","maintenance:M-002","opportunities:OP-001","opportunities:OP-002","tows:TW-002","tows:TW-003","work_orders:WO-003","work_orders:WO-004"]</t>
  </si>
  <si>
    <t>[{"field":"status","record_id":"WO-003","snapshot_id":"65369f3ee5e5c62b83ad59af86b10496753838869968053aaee6777a8db654d7","table":"work_orders","value":"waiting_parts","version":1},{"field":"status","record_id":"WO-004","snapshot_id":"65369f3ee5e5c62b83ad59af86b10496753838869968053aaee6777a8db654d7","table":"work_orders","value":"rework","version":1},{"field":"status","record_id":"M-001","snapshot_id":"65369f3ee5e5c62b83ad59af86b10496753838869968053aaee6777a8db654d7","table":"maintenance","value":"scheduled","version":1},{"field":"status","record_id":"M-002","snapshot_id":"65369f3ee5e5c62b83ad59af86b10496753838869968053aaee6777a8db654d7","table":"maintenance","value":"due","version":1},{"field":"status","record_id":"TW-002","snapshot_id":"65369f3ee5e5c62b83ad59af86b10496753838869968053aaee6777a8db654d7","table":"tows","value":"en_route","version":1},{"field":"status","record_id":"TW-003","snapshot_id":"65369f3ee5e5c62b83ad59af86b10496753838869968053aaee6777a8db654d7","table":"tows","value":"requested","version":1},{"field":"status","record_id":"INV-H160","snapshot_id":"65369f3ee5e5c62b83ad59af86b10496753838869968053aaee6777a8db654d7","table":"invoices","value":"issued","version":1},{"field":"status","record_id":"INV-H159","snapshot_id":"65369f3ee5e5c62b83ad59af86b10496753838869968053aaee6777a8db654d7","table":"invoices","value":"issued","version":1},{"field":"status","record_id":"CAM-001","snapshot_id":"65369f3ee5e5c62b83ad59af86b10496753838869968053aaee6777a8db654d7","table":"campaigns","value":"review","version":1},{"field":"status","record_id":"CAM-002","snapshot_id":"65369f3ee5e5c62b83ad59af86b10496753838869968053aaee6777a8db654d7","table":"campaigns","value":"approved","version":1},{"field":"status","record_id":"OP-001","snapshot_id":"65369f3ee5e5c62b83ad59af86b10496753838869968053aaee6777a8db654d7","table":"opportunities","value":"proposal","version":1},{"field":"status","record_id":"OP-002","snapshot_id":"65369f3ee5e5c62b83ad59af86b10496753838869968053aaee6777a8db654d7","table":"opportunities","value":"qualified","version":1},{"process_id":"weekly_review","source":"specs/agent_operating_contract.json"},{"process_id":"b2c_workshop","source":"specs/agent_operating_contract.json"},{"process_id":"parts_procurement","source":"specs/agent_operating_contract.json"},{"process_id":"fleet_sales_service","source":"specs/agent_operating_contract.json"},{"process_id":"towing","source":"specs/agent_operating_contract.json"},{"process_id":"collections","source":"specs/agent_operating_contract.json"}]</t>
  </si>
  <si>
    <t>MILENIO / Seguimiento de acciones</t>
  </si>
  <si>
    <t>Libro local para que una persona registre el seguimiento de decisiones con evidencia. Los datos son sintéticos y se refieren exclusivamente al corte indicado.</t>
  </si>
  <si>
    <t>snapshot_id</t>
  </si>
  <si>
    <t>as_of</t>
  </si>
  <si>
    <t>2026-09-21T18:00:00Z</t>
  </si>
  <si>
    <t>synthetic</t>
  </si>
  <si>
    <t>true</t>
  </si>
  <si>
    <t>Qué se puede editar</t>
  </si>
  <si>
    <t>Responsable, Estado, Fecha objetivo, Nota de revisión y Evidencia del resultado en la hoja Seguimiento.</t>
  </si>
  <si>
    <t>Qué no se puede editar</t>
  </si>
  <si>
    <t>La sección de origen se conserva para auditoría. Los campos técnicos de IDs, evidencia, snapshot e importe relacionado no deben cambiarse; si no coinciden con el origen, la importación se rechaza.</t>
  </si>
  <si>
    <t>Contexto de origen</t>
  </si>
  <si>
    <t>El motivo, el siguiente paso y la evidencia completa también aparecen en INICIO.html y Gerencia.xlsx. Las columnas de origen de Seguimiento están ocultas para facilitar la reunión; puede mostrarlas cuando necesite auditar el vínculo.</t>
  </si>
  <si>
    <t>Para marcar done</t>
  </si>
  <si>
    <t>Escriba Responsable, Nota de revisión y Evidencia del resultado. El resultado es auto-reportado; la hoja no prueba por sí sola el resultado del negocio.</t>
  </si>
  <si>
    <t>Estados permitidos</t>
  </si>
  <si>
    <t>Use los códigos: pending = pendiente; accepted = aceptada; in_progress = en curso; done = cerrada con evidencia; dismissed = descartada. accepted e in_progress requieren responsable y fecha objetivo; dismissed requiere nota.</t>
  </si>
  <si>
    <t>Límite operativo</t>
  </si>
  <si>
    <t>Este libro no contacta clientes, no cambia un CRM, no agenda, no cobra, no compra y no publica. Toda acción de negocio requiere un proceso humano separado.</t>
  </si>
  <si>
    <t>Auditoría</t>
  </si>
  <si>
    <t>Conserve el snapshot original. El registro JSONL de importación debe incluir un identificador de fuente y un revisor declarado por quien lo registra; esa etiqueta es auto-reportada y no verifica una identidad.</t>
  </si>
</sst>
</file>

<file path=xl/styles.xml><?xml version="1.0" encoding="utf-8"?>
<styleSheet xmlns="http://schemas.openxmlformats.org/spreadsheetml/2006/main">
  <numFmts count="1">
    <numFmt numFmtId="164" formatCode="$#,##0.00;($#,##0.00);&quot;—&quot;"/>
  </numFmts>
  <fonts count="6">
    <font>
      <sz val="11"/>
      <color theme="1"/>
      <name val="Calibri"/>
      <family val="2"/>
      <scheme val="minor"/>
    </font>
    <font>
      <sz val="10"/>
      <color rgb="FF263238"/>
      <name val="Aptos"/>
      <family val="2"/>
    </font>
    <font>
      <sz val="10"/>
      <color rgb="FF7A868C"/>
      <name val="Aptos"/>
      <family val="2"/>
    </font>
    <font>
      <b/>
      <sz val="18"/>
      <color rgb="FF182B3A"/>
      <name val="Aptos"/>
      <family val="2"/>
    </font>
    <font>
      <sz val="10"/>
      <color rgb="FF546975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82B3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3" fillId="0" borderId="0" xfId="0" applyFont="1"/>
    <xf numFmtId="0" fontId="4" fillId="0" borderId="0" xfId="0" applyFont="1" applyAlignment="1">
      <alignment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375623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tionFollowThrough" displayName="ActionFollowThrough" ref="A1:P71" totalsRowShown="0">
  <autoFilter ref="A1:P71"/>
  <tableColumns count="16">
    <tableColumn id="1" name="ID de acción"/>
    <tableColumn id="2" name="Categoría"/>
    <tableColumn id="3" name="Título"/>
    <tableColumn id="4" name="Prioridad"/>
    <tableColumn id="5" name="Rol sugerido"/>
    <tableColumn id="6" name="Por qué ahora"/>
    <tableColumn id="7" name="Siguiente paso recomendado"/>
    <tableColumn id="8" name="Importe relacionado (MXN)"/>
    <tableColumn id="9" name="IDs de fuente"/>
    <tableColumn id="10" name="Evidencia de origen"/>
    <tableColumn id="11" name="Snapshot de origen"/>
    <tableColumn id="12" name="Responsable"/>
    <tableColumn id="13" name="Estado"/>
    <tableColumn id="14" name="Fecha objetivo"/>
    <tableColumn id="15" name="Nota de revisión"/>
    <tableColumn id="16" name="Evidencia del 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7.7109375" style="1" hidden="1" customWidth="1"/>
    <col min="2" max="2" width="16.7109375" style="1" hidden="1" customWidth="1"/>
    <col min="3" max="3" width="30.7109375" style="1" customWidth="1"/>
    <col min="4" max="4" width="12.7109375" style="1" customWidth="1"/>
    <col min="5" max="5" width="19.7109375" style="1" hidden="1" customWidth="1"/>
    <col min="6" max="6" width="34.7109375" style="1" hidden="1" customWidth="1"/>
    <col min="7" max="7" width="38.7109375" style="1" hidden="1" customWidth="1"/>
    <col min="8" max="8" width="18.7109375" style="2" hidden="1" customWidth="1"/>
    <col min="9" max="9" width="26.7109375" style="1" hidden="1" customWidth="1"/>
    <col min="10" max="10" width="44.7109375" style="1" hidden="1" customWidth="1"/>
    <col min="11" max="11" width="22.7109375" style="1" hidden="1" customWidth="1"/>
    <col min="12" max="12" width="22.7109375" style="1" customWidth="1"/>
    <col min="13" max="13" width="16.7109375" style="1" customWidth="1"/>
    <col min="14" max="14" width="17.7109375" style="1" customWidth="1"/>
    <col min="15" max="15" width="34.7109375" style="1" customWidth="1"/>
    <col min="16" max="16" width="38.7109375" style="1" customWidth="1"/>
  </cols>
  <sheetData>
    <row r="1" spans="1:1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6" customHeight="1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450</v>
      </c>
      <c r="I2" s="1" t="s">
        <v>23</v>
      </c>
      <c r="J2" s="1" t="s">
        <v>24</v>
      </c>
      <c r="K2" s="1" t="s">
        <v>25</v>
      </c>
      <c r="L2" s="3"/>
      <c r="M2" s="4" t="s">
        <v>26</v>
      </c>
      <c r="N2" s="3"/>
      <c r="O2" s="3"/>
      <c r="P2" s="3"/>
    </row>
    <row r="3" spans="1:16" ht="56" customHeight="1">
      <c r="A3" s="1" t="s">
        <v>27</v>
      </c>
      <c r="B3" s="1" t="s">
        <v>17</v>
      </c>
      <c r="C3" s="1" t="s">
        <v>28</v>
      </c>
      <c r="D3" s="1" t="s">
        <v>19</v>
      </c>
      <c r="E3" s="1" t="s">
        <v>20</v>
      </c>
      <c r="F3" s="1" t="s">
        <v>29</v>
      </c>
      <c r="G3" s="1" t="s">
        <v>22</v>
      </c>
      <c r="H3" s="2">
        <v>450</v>
      </c>
      <c r="I3" s="1" t="s">
        <v>30</v>
      </c>
      <c r="J3" s="1" t="s">
        <v>31</v>
      </c>
      <c r="K3" s="1" t="s">
        <v>25</v>
      </c>
      <c r="L3" s="3"/>
      <c r="M3" s="4" t="s">
        <v>26</v>
      </c>
      <c r="N3" s="3"/>
      <c r="O3" s="3"/>
      <c r="P3" s="3"/>
    </row>
    <row r="4" spans="1:16" ht="56" customHeight="1">
      <c r="A4" s="1" t="s">
        <v>32</v>
      </c>
      <c r="B4" s="1" t="s">
        <v>17</v>
      </c>
      <c r="C4" s="1" t="s">
        <v>33</v>
      </c>
      <c r="D4" s="1" t="s">
        <v>19</v>
      </c>
      <c r="E4" s="1" t="s">
        <v>20</v>
      </c>
      <c r="F4" s="1" t="s">
        <v>34</v>
      </c>
      <c r="G4" s="1" t="s">
        <v>22</v>
      </c>
      <c r="H4" s="2">
        <v>950</v>
      </c>
      <c r="I4" s="1" t="s">
        <v>35</v>
      </c>
      <c r="J4" s="1" t="s">
        <v>36</v>
      </c>
      <c r="K4" s="1" t="s">
        <v>25</v>
      </c>
      <c r="L4" s="3"/>
      <c r="M4" s="4" t="s">
        <v>26</v>
      </c>
      <c r="N4" s="3"/>
      <c r="O4" s="3"/>
      <c r="P4" s="3"/>
    </row>
    <row r="5" spans="1:16" ht="56" customHeight="1">
      <c r="A5" s="1" t="s">
        <v>37</v>
      </c>
      <c r="B5" s="1" t="s">
        <v>17</v>
      </c>
      <c r="C5" s="1" t="s">
        <v>38</v>
      </c>
      <c r="D5" s="1" t="s">
        <v>19</v>
      </c>
      <c r="E5" s="1" t="s">
        <v>20</v>
      </c>
      <c r="F5" s="1" t="s">
        <v>39</v>
      </c>
      <c r="G5" s="1" t="s">
        <v>22</v>
      </c>
      <c r="H5" s="2">
        <v>387.5</v>
      </c>
      <c r="I5" s="1" t="s">
        <v>40</v>
      </c>
      <c r="J5" s="1" t="s">
        <v>41</v>
      </c>
      <c r="K5" s="1" t="s">
        <v>25</v>
      </c>
      <c r="L5" s="3"/>
      <c r="M5" s="4" t="s">
        <v>26</v>
      </c>
      <c r="N5" s="3"/>
      <c r="O5" s="3"/>
      <c r="P5" s="3"/>
    </row>
    <row r="6" spans="1:16" ht="56" customHeight="1">
      <c r="A6" s="1" t="s">
        <v>42</v>
      </c>
      <c r="B6" s="1" t="s">
        <v>17</v>
      </c>
      <c r="C6" s="1" t="s">
        <v>43</v>
      </c>
      <c r="D6" s="1" t="s">
        <v>19</v>
      </c>
      <c r="E6" s="1" t="s">
        <v>20</v>
      </c>
      <c r="F6" s="1" t="s">
        <v>44</v>
      </c>
      <c r="G6" s="1" t="s">
        <v>22</v>
      </c>
      <c r="H6" s="2">
        <v>450</v>
      </c>
      <c r="I6" s="1" t="s">
        <v>45</v>
      </c>
      <c r="J6" s="1" t="s">
        <v>46</v>
      </c>
      <c r="K6" s="1" t="s">
        <v>25</v>
      </c>
      <c r="L6" s="3"/>
      <c r="M6" s="4" t="s">
        <v>26</v>
      </c>
      <c r="N6" s="3"/>
      <c r="O6" s="3"/>
      <c r="P6" s="3"/>
    </row>
    <row r="7" spans="1:16" ht="56" customHeight="1">
      <c r="A7" s="1" t="s">
        <v>47</v>
      </c>
      <c r="B7" s="1" t="s">
        <v>17</v>
      </c>
      <c r="C7" s="1" t="s">
        <v>48</v>
      </c>
      <c r="D7" s="1" t="s">
        <v>19</v>
      </c>
      <c r="E7" s="1" t="s">
        <v>20</v>
      </c>
      <c r="F7" s="1" t="s">
        <v>49</v>
      </c>
      <c r="G7" s="1" t="s">
        <v>22</v>
      </c>
      <c r="H7" s="2">
        <v>512.5</v>
      </c>
      <c r="I7" s="1" t="s">
        <v>50</v>
      </c>
      <c r="J7" s="1" t="s">
        <v>51</v>
      </c>
      <c r="K7" s="1" t="s">
        <v>25</v>
      </c>
      <c r="L7" s="3"/>
      <c r="M7" s="4" t="s">
        <v>26</v>
      </c>
      <c r="N7" s="3"/>
      <c r="O7" s="3"/>
      <c r="P7" s="3"/>
    </row>
    <row r="8" spans="1:16" ht="56" customHeight="1">
      <c r="A8" s="1" t="s">
        <v>52</v>
      </c>
      <c r="B8" s="1" t="s">
        <v>17</v>
      </c>
      <c r="C8" s="1" t="s">
        <v>53</v>
      </c>
      <c r="D8" s="1" t="s">
        <v>19</v>
      </c>
      <c r="E8" s="1" t="s">
        <v>20</v>
      </c>
      <c r="F8" s="1" t="s">
        <v>54</v>
      </c>
      <c r="G8" s="1" t="s">
        <v>22</v>
      </c>
      <c r="H8" s="2">
        <v>887.5</v>
      </c>
      <c r="I8" s="1" t="s">
        <v>55</v>
      </c>
      <c r="J8" s="1" t="s">
        <v>56</v>
      </c>
      <c r="K8" s="1" t="s">
        <v>25</v>
      </c>
      <c r="L8" s="3"/>
      <c r="M8" s="4" t="s">
        <v>26</v>
      </c>
      <c r="N8" s="3"/>
      <c r="O8" s="3"/>
      <c r="P8" s="3"/>
    </row>
    <row r="9" spans="1:16" ht="56" customHeight="1">
      <c r="A9" s="1" t="s">
        <v>57</v>
      </c>
      <c r="B9" s="1" t="s">
        <v>17</v>
      </c>
      <c r="C9" s="1" t="s">
        <v>58</v>
      </c>
      <c r="D9" s="1" t="s">
        <v>19</v>
      </c>
      <c r="E9" s="1" t="s">
        <v>20</v>
      </c>
      <c r="F9" s="1" t="s">
        <v>59</v>
      </c>
      <c r="G9" s="1" t="s">
        <v>22</v>
      </c>
      <c r="H9" s="2">
        <v>325</v>
      </c>
      <c r="I9" s="1" t="s">
        <v>60</v>
      </c>
      <c r="J9" s="1" t="s">
        <v>61</v>
      </c>
      <c r="K9" s="1" t="s">
        <v>25</v>
      </c>
      <c r="L9" s="3"/>
      <c r="M9" s="4" t="s">
        <v>26</v>
      </c>
      <c r="N9" s="3"/>
      <c r="O9" s="3"/>
      <c r="P9" s="3"/>
    </row>
    <row r="10" spans="1:16" ht="56" customHeight="1">
      <c r="A10" s="1" t="s">
        <v>62</v>
      </c>
      <c r="B10" s="1" t="s">
        <v>17</v>
      </c>
      <c r="C10" s="1" t="s">
        <v>63</v>
      </c>
      <c r="D10" s="1" t="s">
        <v>19</v>
      </c>
      <c r="E10" s="1" t="s">
        <v>20</v>
      </c>
      <c r="F10" s="1" t="s">
        <v>64</v>
      </c>
      <c r="G10" s="1" t="s">
        <v>22</v>
      </c>
      <c r="H10" s="2">
        <v>575</v>
      </c>
      <c r="I10" s="1" t="s">
        <v>65</v>
      </c>
      <c r="J10" s="1" t="s">
        <v>66</v>
      </c>
      <c r="K10" s="1" t="s">
        <v>25</v>
      </c>
      <c r="L10" s="3"/>
      <c r="M10" s="4" t="s">
        <v>26</v>
      </c>
      <c r="N10" s="3"/>
      <c r="O10" s="3"/>
      <c r="P10" s="3"/>
    </row>
    <row r="11" spans="1:16" ht="56" customHeight="1">
      <c r="A11" s="1" t="s">
        <v>67</v>
      </c>
      <c r="B11" s="1" t="s">
        <v>17</v>
      </c>
      <c r="C11" s="1" t="s">
        <v>68</v>
      </c>
      <c r="D11" s="1" t="s">
        <v>19</v>
      </c>
      <c r="E11" s="1" t="s">
        <v>20</v>
      </c>
      <c r="F11" s="1" t="s">
        <v>69</v>
      </c>
      <c r="G11" s="1" t="s">
        <v>22</v>
      </c>
      <c r="H11" s="2">
        <v>575</v>
      </c>
      <c r="I11" s="1" t="s">
        <v>70</v>
      </c>
      <c r="J11" s="1" t="s">
        <v>71</v>
      </c>
      <c r="K11" s="1" t="s">
        <v>25</v>
      </c>
      <c r="L11" s="3"/>
      <c r="M11" s="4" t="s">
        <v>26</v>
      </c>
      <c r="N11" s="3"/>
      <c r="O11" s="3"/>
      <c r="P11" s="3"/>
    </row>
    <row r="12" spans="1:16" ht="56" customHeight="1">
      <c r="A12" s="1" t="s">
        <v>72</v>
      </c>
      <c r="B12" s="1" t="s">
        <v>17</v>
      </c>
      <c r="C12" s="1" t="s">
        <v>73</v>
      </c>
      <c r="D12" s="1" t="s">
        <v>19</v>
      </c>
      <c r="E12" s="1" t="s">
        <v>20</v>
      </c>
      <c r="F12" s="1" t="s">
        <v>74</v>
      </c>
      <c r="G12" s="1" t="s">
        <v>22</v>
      </c>
      <c r="H12" s="2">
        <v>887.5</v>
      </c>
      <c r="I12" s="1" t="s">
        <v>75</v>
      </c>
      <c r="J12" s="1" t="s">
        <v>76</v>
      </c>
      <c r="K12" s="1" t="s">
        <v>25</v>
      </c>
      <c r="L12" s="3"/>
      <c r="M12" s="4" t="s">
        <v>26</v>
      </c>
      <c r="N12" s="3"/>
      <c r="O12" s="3"/>
      <c r="P12" s="3"/>
    </row>
    <row r="13" spans="1:16" ht="56" customHeight="1">
      <c r="A13" s="1" t="s">
        <v>77</v>
      </c>
      <c r="B13" s="1" t="s">
        <v>17</v>
      </c>
      <c r="C13" s="1" t="s">
        <v>78</v>
      </c>
      <c r="D13" s="1" t="s">
        <v>19</v>
      </c>
      <c r="E13" s="1" t="s">
        <v>20</v>
      </c>
      <c r="F13" s="1" t="s">
        <v>79</v>
      </c>
      <c r="G13" s="1" t="s">
        <v>22</v>
      </c>
      <c r="H13" s="2">
        <v>575</v>
      </c>
      <c r="I13" s="1" t="s">
        <v>80</v>
      </c>
      <c r="J13" s="1" t="s">
        <v>81</v>
      </c>
      <c r="K13" s="1" t="s">
        <v>25</v>
      </c>
      <c r="L13" s="3"/>
      <c r="M13" s="4" t="s">
        <v>26</v>
      </c>
      <c r="N13" s="3"/>
      <c r="O13" s="3"/>
      <c r="P13" s="3"/>
    </row>
    <row r="14" spans="1:16" ht="56" customHeight="1">
      <c r="A14" s="1" t="s">
        <v>82</v>
      </c>
      <c r="B14" s="1" t="s">
        <v>17</v>
      </c>
      <c r="C14" s="1" t="s">
        <v>83</v>
      </c>
      <c r="D14" s="1" t="s">
        <v>19</v>
      </c>
      <c r="E14" s="1" t="s">
        <v>20</v>
      </c>
      <c r="F14" s="1" t="s">
        <v>84</v>
      </c>
      <c r="G14" s="1" t="s">
        <v>22</v>
      </c>
      <c r="H14" s="2">
        <v>700</v>
      </c>
      <c r="I14" s="1" t="s">
        <v>85</v>
      </c>
      <c r="J14" s="1" t="s">
        <v>86</v>
      </c>
      <c r="K14" s="1" t="s">
        <v>25</v>
      </c>
      <c r="L14" s="3"/>
      <c r="M14" s="4" t="s">
        <v>26</v>
      </c>
      <c r="N14" s="3"/>
      <c r="O14" s="3"/>
      <c r="P14" s="3"/>
    </row>
    <row r="15" spans="1:16" ht="56" customHeight="1">
      <c r="A15" s="1" t="s">
        <v>87</v>
      </c>
      <c r="B15" s="1" t="s">
        <v>17</v>
      </c>
      <c r="C15" s="1" t="s">
        <v>88</v>
      </c>
      <c r="D15" s="1" t="s">
        <v>19</v>
      </c>
      <c r="E15" s="1" t="s">
        <v>20</v>
      </c>
      <c r="F15" s="1" t="s">
        <v>89</v>
      </c>
      <c r="G15" s="1" t="s">
        <v>22</v>
      </c>
      <c r="H15" s="2">
        <v>825</v>
      </c>
      <c r="I15" s="1" t="s">
        <v>90</v>
      </c>
      <c r="J15" s="1" t="s">
        <v>91</v>
      </c>
      <c r="K15" s="1" t="s">
        <v>25</v>
      </c>
      <c r="L15" s="3"/>
      <c r="M15" s="4" t="s">
        <v>26</v>
      </c>
      <c r="N15" s="3"/>
      <c r="O15" s="3"/>
      <c r="P15" s="3"/>
    </row>
    <row r="16" spans="1:16" ht="56" customHeight="1">
      <c r="A16" s="1" t="s">
        <v>92</v>
      </c>
      <c r="B16" s="1" t="s">
        <v>17</v>
      </c>
      <c r="C16" s="1" t="s">
        <v>93</v>
      </c>
      <c r="D16" s="1" t="s">
        <v>19</v>
      </c>
      <c r="E16" s="1" t="s">
        <v>20</v>
      </c>
      <c r="F16" s="1" t="s">
        <v>94</v>
      </c>
      <c r="G16" s="1" t="s">
        <v>22</v>
      </c>
      <c r="H16" s="2">
        <v>762.5</v>
      </c>
      <c r="I16" s="1" t="s">
        <v>95</v>
      </c>
      <c r="J16" s="1" t="s">
        <v>96</v>
      </c>
      <c r="K16" s="1" t="s">
        <v>25</v>
      </c>
      <c r="L16" s="3"/>
      <c r="M16" s="4" t="s">
        <v>26</v>
      </c>
      <c r="N16" s="3"/>
      <c r="O16" s="3"/>
      <c r="P16" s="3"/>
    </row>
    <row r="17" spans="1:16" ht="56" customHeight="1">
      <c r="A17" s="1" t="s">
        <v>97</v>
      </c>
      <c r="B17" s="1" t="s">
        <v>17</v>
      </c>
      <c r="C17" s="1" t="s">
        <v>98</v>
      </c>
      <c r="D17" s="1" t="s">
        <v>19</v>
      </c>
      <c r="E17" s="1" t="s">
        <v>20</v>
      </c>
      <c r="F17" s="1" t="s">
        <v>99</v>
      </c>
      <c r="G17" s="1" t="s">
        <v>22</v>
      </c>
      <c r="H17" s="2">
        <v>512.5</v>
      </c>
      <c r="I17" s="1" t="s">
        <v>100</v>
      </c>
      <c r="J17" s="1" t="s">
        <v>101</v>
      </c>
      <c r="K17" s="1" t="s">
        <v>25</v>
      </c>
      <c r="L17" s="3"/>
      <c r="M17" s="4" t="s">
        <v>26</v>
      </c>
      <c r="N17" s="3"/>
      <c r="O17" s="3"/>
      <c r="P17" s="3"/>
    </row>
    <row r="18" spans="1:16" ht="56" customHeight="1">
      <c r="A18" s="1" t="s">
        <v>102</v>
      </c>
      <c r="B18" s="1" t="s">
        <v>17</v>
      </c>
      <c r="C18" s="1" t="s">
        <v>103</v>
      </c>
      <c r="D18" s="1" t="s">
        <v>19</v>
      </c>
      <c r="E18" s="1" t="s">
        <v>20</v>
      </c>
      <c r="F18" s="1" t="s">
        <v>104</v>
      </c>
      <c r="G18" s="1" t="s">
        <v>22</v>
      </c>
      <c r="H18" s="2">
        <v>637.5</v>
      </c>
      <c r="I18" s="1" t="s">
        <v>105</v>
      </c>
      <c r="J18" s="1" t="s">
        <v>106</v>
      </c>
      <c r="K18" s="1" t="s">
        <v>25</v>
      </c>
      <c r="L18" s="3"/>
      <c r="M18" s="4" t="s">
        <v>26</v>
      </c>
      <c r="N18" s="3"/>
      <c r="O18" s="3"/>
      <c r="P18" s="3"/>
    </row>
    <row r="19" spans="1:16" ht="56" customHeight="1">
      <c r="A19" s="1" t="s">
        <v>107</v>
      </c>
      <c r="B19" s="1" t="s">
        <v>17</v>
      </c>
      <c r="C19" s="1" t="s">
        <v>108</v>
      </c>
      <c r="D19" s="1" t="s">
        <v>19</v>
      </c>
      <c r="E19" s="1" t="s">
        <v>20</v>
      </c>
      <c r="F19" s="1" t="s">
        <v>109</v>
      </c>
      <c r="G19" s="1" t="s">
        <v>22</v>
      </c>
      <c r="H19" s="2">
        <v>575</v>
      </c>
      <c r="I19" s="1" t="s">
        <v>110</v>
      </c>
      <c r="J19" s="1" t="s">
        <v>111</v>
      </c>
      <c r="K19" s="1" t="s">
        <v>25</v>
      </c>
      <c r="L19" s="3"/>
      <c r="M19" s="4" t="s">
        <v>26</v>
      </c>
      <c r="N19" s="3"/>
      <c r="O19" s="3"/>
      <c r="P19" s="3"/>
    </row>
    <row r="20" spans="1:16" ht="56" customHeight="1">
      <c r="A20" s="1" t="s">
        <v>112</v>
      </c>
      <c r="B20" s="1" t="s">
        <v>17</v>
      </c>
      <c r="C20" s="1" t="s">
        <v>113</v>
      </c>
      <c r="D20" s="1" t="s">
        <v>19</v>
      </c>
      <c r="E20" s="1" t="s">
        <v>20</v>
      </c>
      <c r="F20" s="1" t="s">
        <v>114</v>
      </c>
      <c r="G20" s="1" t="s">
        <v>22</v>
      </c>
      <c r="H20" s="2">
        <v>637.5</v>
      </c>
      <c r="I20" s="1" t="s">
        <v>115</v>
      </c>
      <c r="J20" s="1" t="s">
        <v>116</v>
      </c>
      <c r="K20" s="1" t="s">
        <v>25</v>
      </c>
      <c r="L20" s="3"/>
      <c r="M20" s="4" t="s">
        <v>26</v>
      </c>
      <c r="N20" s="3"/>
      <c r="O20" s="3"/>
      <c r="P20" s="3"/>
    </row>
    <row r="21" spans="1:16" ht="56" customHeight="1">
      <c r="A21" s="1" t="s">
        <v>117</v>
      </c>
      <c r="B21" s="1" t="s">
        <v>17</v>
      </c>
      <c r="C21" s="1" t="s">
        <v>118</v>
      </c>
      <c r="D21" s="1" t="s">
        <v>19</v>
      </c>
      <c r="E21" s="1" t="s">
        <v>20</v>
      </c>
      <c r="F21" s="1" t="s">
        <v>119</v>
      </c>
      <c r="G21" s="1" t="s">
        <v>22</v>
      </c>
      <c r="H21" s="2">
        <v>825</v>
      </c>
      <c r="I21" s="1" t="s">
        <v>120</v>
      </c>
      <c r="J21" s="1" t="s">
        <v>121</v>
      </c>
      <c r="K21" s="1" t="s">
        <v>25</v>
      </c>
      <c r="L21" s="3"/>
      <c r="M21" s="4" t="s">
        <v>26</v>
      </c>
      <c r="N21" s="3"/>
      <c r="O21" s="3"/>
      <c r="P21" s="3"/>
    </row>
    <row r="22" spans="1:16" ht="56" customHeight="1">
      <c r="A22" s="1" t="s">
        <v>122</v>
      </c>
      <c r="B22" s="1" t="s">
        <v>17</v>
      </c>
      <c r="C22" s="1" t="s">
        <v>123</v>
      </c>
      <c r="D22" s="1" t="s">
        <v>19</v>
      </c>
      <c r="E22" s="1" t="s">
        <v>20</v>
      </c>
      <c r="F22" s="1" t="s">
        <v>124</v>
      </c>
      <c r="G22" s="1" t="s">
        <v>22</v>
      </c>
      <c r="H22" s="2">
        <v>387.5</v>
      </c>
      <c r="I22" s="1" t="s">
        <v>125</v>
      </c>
      <c r="J22" s="1" t="s">
        <v>126</v>
      </c>
      <c r="K22" s="1" t="s">
        <v>25</v>
      </c>
      <c r="L22" s="3"/>
      <c r="M22" s="4" t="s">
        <v>26</v>
      </c>
      <c r="N22" s="3"/>
      <c r="O22" s="3"/>
      <c r="P22" s="3"/>
    </row>
    <row r="23" spans="1:16" ht="56" customHeight="1">
      <c r="A23" s="1" t="s">
        <v>127</v>
      </c>
      <c r="B23" s="1" t="s">
        <v>17</v>
      </c>
      <c r="C23" s="1" t="s">
        <v>128</v>
      </c>
      <c r="D23" s="1" t="s">
        <v>19</v>
      </c>
      <c r="E23" s="1" t="s">
        <v>20</v>
      </c>
      <c r="F23" s="1" t="s">
        <v>129</v>
      </c>
      <c r="G23" s="1" t="s">
        <v>22</v>
      </c>
      <c r="H23" s="2">
        <v>950</v>
      </c>
      <c r="I23" s="1" t="s">
        <v>130</v>
      </c>
      <c r="J23" s="1" t="s">
        <v>131</v>
      </c>
      <c r="K23" s="1" t="s">
        <v>25</v>
      </c>
      <c r="L23" s="3"/>
      <c r="M23" s="4" t="s">
        <v>26</v>
      </c>
      <c r="N23" s="3"/>
      <c r="O23" s="3"/>
      <c r="P23" s="3"/>
    </row>
    <row r="24" spans="1:16" ht="56" customHeight="1">
      <c r="A24" s="1" t="s">
        <v>132</v>
      </c>
      <c r="B24" s="1" t="s">
        <v>17</v>
      </c>
      <c r="C24" s="1" t="s">
        <v>133</v>
      </c>
      <c r="D24" s="1" t="s">
        <v>19</v>
      </c>
      <c r="E24" s="1" t="s">
        <v>20</v>
      </c>
      <c r="F24" s="1" t="s">
        <v>134</v>
      </c>
      <c r="G24" s="1" t="s">
        <v>22</v>
      </c>
      <c r="H24" s="2">
        <v>762.5</v>
      </c>
      <c r="I24" s="1" t="s">
        <v>135</v>
      </c>
      <c r="J24" s="1" t="s">
        <v>136</v>
      </c>
      <c r="K24" s="1" t="s">
        <v>25</v>
      </c>
      <c r="L24" s="3"/>
      <c r="M24" s="4" t="s">
        <v>26</v>
      </c>
      <c r="N24" s="3"/>
      <c r="O24" s="3"/>
      <c r="P24" s="3"/>
    </row>
    <row r="25" spans="1:16" ht="56" customHeight="1">
      <c r="A25" s="1" t="s">
        <v>137</v>
      </c>
      <c r="B25" s="1" t="s">
        <v>17</v>
      </c>
      <c r="C25" s="1" t="s">
        <v>138</v>
      </c>
      <c r="D25" s="1" t="s">
        <v>19</v>
      </c>
      <c r="E25" s="1" t="s">
        <v>20</v>
      </c>
      <c r="F25" s="1" t="s">
        <v>139</v>
      </c>
      <c r="G25" s="1" t="s">
        <v>22</v>
      </c>
      <c r="H25" s="2">
        <v>762.5</v>
      </c>
      <c r="I25" s="1" t="s">
        <v>140</v>
      </c>
      <c r="J25" s="1" t="s">
        <v>141</v>
      </c>
      <c r="K25" s="1" t="s">
        <v>25</v>
      </c>
      <c r="L25" s="3"/>
      <c r="M25" s="4" t="s">
        <v>26</v>
      </c>
      <c r="N25" s="3"/>
      <c r="O25" s="3"/>
      <c r="P25" s="3"/>
    </row>
    <row r="26" spans="1:16" ht="56" customHeight="1">
      <c r="A26" s="1" t="s">
        <v>142</v>
      </c>
      <c r="B26" s="1" t="s">
        <v>17</v>
      </c>
      <c r="C26" s="1" t="s">
        <v>143</v>
      </c>
      <c r="D26" s="1" t="s">
        <v>19</v>
      </c>
      <c r="E26" s="1" t="s">
        <v>20</v>
      </c>
      <c r="F26" s="1" t="s">
        <v>144</v>
      </c>
      <c r="G26" s="1" t="s">
        <v>22</v>
      </c>
      <c r="H26" s="2">
        <v>325</v>
      </c>
      <c r="I26" s="1" t="s">
        <v>145</v>
      </c>
      <c r="J26" s="1" t="s">
        <v>146</v>
      </c>
      <c r="K26" s="1" t="s">
        <v>25</v>
      </c>
      <c r="L26" s="3"/>
      <c r="M26" s="4" t="s">
        <v>26</v>
      </c>
      <c r="N26" s="3"/>
      <c r="O26" s="3"/>
      <c r="P26" s="3"/>
    </row>
    <row r="27" spans="1:16" ht="56" customHeight="1">
      <c r="A27" s="1" t="s">
        <v>147</v>
      </c>
      <c r="B27" s="1" t="s">
        <v>17</v>
      </c>
      <c r="C27" s="1" t="s">
        <v>148</v>
      </c>
      <c r="D27" s="1" t="s">
        <v>19</v>
      </c>
      <c r="E27" s="1" t="s">
        <v>20</v>
      </c>
      <c r="F27" s="1" t="s">
        <v>149</v>
      </c>
      <c r="G27" s="1" t="s">
        <v>22</v>
      </c>
      <c r="H27" s="2">
        <v>950</v>
      </c>
      <c r="I27" s="1" t="s">
        <v>150</v>
      </c>
      <c r="J27" s="1" t="s">
        <v>151</v>
      </c>
      <c r="K27" s="1" t="s">
        <v>25</v>
      </c>
      <c r="L27" s="3"/>
      <c r="M27" s="4" t="s">
        <v>26</v>
      </c>
      <c r="N27" s="3"/>
      <c r="O27" s="3"/>
      <c r="P27" s="3"/>
    </row>
    <row r="28" spans="1:16" ht="56" customHeight="1">
      <c r="A28" s="1" t="s">
        <v>152</v>
      </c>
      <c r="B28" s="1" t="s">
        <v>17</v>
      </c>
      <c r="C28" s="1" t="s">
        <v>153</v>
      </c>
      <c r="D28" s="1" t="s">
        <v>19</v>
      </c>
      <c r="E28" s="1" t="s">
        <v>20</v>
      </c>
      <c r="F28" s="1" t="s">
        <v>154</v>
      </c>
      <c r="G28" s="1" t="s">
        <v>22</v>
      </c>
      <c r="H28" s="2">
        <v>700</v>
      </c>
      <c r="I28" s="1" t="s">
        <v>155</v>
      </c>
      <c r="J28" s="1" t="s">
        <v>156</v>
      </c>
      <c r="K28" s="1" t="s">
        <v>25</v>
      </c>
      <c r="L28" s="3"/>
      <c r="M28" s="4" t="s">
        <v>26</v>
      </c>
      <c r="N28" s="3"/>
      <c r="O28" s="3"/>
      <c r="P28" s="3"/>
    </row>
    <row r="29" spans="1:16" ht="56" customHeight="1">
      <c r="A29" s="1" t="s">
        <v>157</v>
      </c>
      <c r="B29" s="1" t="s">
        <v>17</v>
      </c>
      <c r="C29" s="1" t="s">
        <v>158</v>
      </c>
      <c r="D29" s="1" t="s">
        <v>19</v>
      </c>
      <c r="E29" s="1" t="s">
        <v>20</v>
      </c>
      <c r="F29" s="1" t="s">
        <v>159</v>
      </c>
      <c r="G29" s="1" t="s">
        <v>22</v>
      </c>
      <c r="H29" s="2">
        <v>325</v>
      </c>
      <c r="I29" s="1" t="s">
        <v>160</v>
      </c>
      <c r="J29" s="1" t="s">
        <v>161</v>
      </c>
      <c r="K29" s="1" t="s">
        <v>25</v>
      </c>
      <c r="L29" s="3"/>
      <c r="M29" s="4" t="s">
        <v>26</v>
      </c>
      <c r="N29" s="3"/>
      <c r="O29" s="3"/>
      <c r="P29" s="3"/>
    </row>
    <row r="30" spans="1:16" ht="56" customHeight="1">
      <c r="A30" s="1" t="s">
        <v>162</v>
      </c>
      <c r="B30" s="1" t="s">
        <v>17</v>
      </c>
      <c r="C30" s="1" t="s">
        <v>163</v>
      </c>
      <c r="D30" s="1" t="s">
        <v>19</v>
      </c>
      <c r="E30" s="1" t="s">
        <v>20</v>
      </c>
      <c r="F30" s="1" t="s">
        <v>164</v>
      </c>
      <c r="G30" s="1" t="s">
        <v>22</v>
      </c>
      <c r="H30" s="2">
        <v>512.5</v>
      </c>
      <c r="I30" s="1" t="s">
        <v>165</v>
      </c>
      <c r="J30" s="1" t="s">
        <v>166</v>
      </c>
      <c r="K30" s="1" t="s">
        <v>25</v>
      </c>
      <c r="L30" s="3"/>
      <c r="M30" s="4" t="s">
        <v>26</v>
      </c>
      <c r="N30" s="3"/>
      <c r="O30" s="3"/>
      <c r="P30" s="3"/>
    </row>
    <row r="31" spans="1:16" ht="56" customHeight="1">
      <c r="A31" s="1" t="s">
        <v>167</v>
      </c>
      <c r="B31" s="1" t="s">
        <v>17</v>
      </c>
      <c r="C31" s="1" t="s">
        <v>168</v>
      </c>
      <c r="D31" s="1" t="s">
        <v>19</v>
      </c>
      <c r="E31" s="1" t="s">
        <v>20</v>
      </c>
      <c r="F31" s="1" t="s">
        <v>169</v>
      </c>
      <c r="G31" s="1" t="s">
        <v>22</v>
      </c>
      <c r="H31" s="2">
        <v>700</v>
      </c>
      <c r="I31" s="1" t="s">
        <v>170</v>
      </c>
      <c r="J31" s="1" t="s">
        <v>171</v>
      </c>
      <c r="K31" s="1" t="s">
        <v>25</v>
      </c>
      <c r="L31" s="3"/>
      <c r="M31" s="4" t="s">
        <v>26</v>
      </c>
      <c r="N31" s="3"/>
      <c r="O31" s="3"/>
      <c r="P31" s="3"/>
    </row>
    <row r="32" spans="1:16" ht="56" customHeight="1">
      <c r="A32" s="1" t="s">
        <v>172</v>
      </c>
      <c r="B32" s="1" t="s">
        <v>17</v>
      </c>
      <c r="C32" s="1" t="s">
        <v>173</v>
      </c>
      <c r="D32" s="1" t="s">
        <v>19</v>
      </c>
      <c r="E32" s="1" t="s">
        <v>20</v>
      </c>
      <c r="F32" s="1" t="s">
        <v>174</v>
      </c>
      <c r="G32" s="1" t="s">
        <v>22</v>
      </c>
      <c r="H32" s="2">
        <v>887.5</v>
      </c>
      <c r="I32" s="1" t="s">
        <v>175</v>
      </c>
      <c r="J32" s="1" t="s">
        <v>176</v>
      </c>
      <c r="K32" s="1" t="s">
        <v>25</v>
      </c>
      <c r="L32" s="3"/>
      <c r="M32" s="4" t="s">
        <v>26</v>
      </c>
      <c r="N32" s="3"/>
      <c r="O32" s="3"/>
      <c r="P32" s="3"/>
    </row>
    <row r="33" spans="1:16" ht="56" customHeight="1">
      <c r="A33" s="1" t="s">
        <v>177</v>
      </c>
      <c r="B33" s="1" t="s">
        <v>17</v>
      </c>
      <c r="C33" s="1" t="s">
        <v>178</v>
      </c>
      <c r="D33" s="1" t="s">
        <v>19</v>
      </c>
      <c r="E33" s="1" t="s">
        <v>20</v>
      </c>
      <c r="F33" s="1" t="s">
        <v>179</v>
      </c>
      <c r="G33" s="1" t="s">
        <v>22</v>
      </c>
      <c r="H33" s="2">
        <v>387.5</v>
      </c>
      <c r="I33" s="1" t="s">
        <v>180</v>
      </c>
      <c r="J33" s="1" t="s">
        <v>181</v>
      </c>
      <c r="K33" s="1" t="s">
        <v>25</v>
      </c>
      <c r="L33" s="3"/>
      <c r="M33" s="4" t="s">
        <v>26</v>
      </c>
      <c r="N33" s="3"/>
      <c r="O33" s="3"/>
      <c r="P33" s="3"/>
    </row>
    <row r="34" spans="1:16" ht="56" customHeight="1">
      <c r="A34" s="1" t="s">
        <v>182</v>
      </c>
      <c r="B34" s="1" t="s">
        <v>17</v>
      </c>
      <c r="C34" s="1" t="s">
        <v>183</v>
      </c>
      <c r="D34" s="1" t="s">
        <v>19</v>
      </c>
      <c r="E34" s="1" t="s">
        <v>20</v>
      </c>
      <c r="F34" s="1" t="s">
        <v>184</v>
      </c>
      <c r="G34" s="1" t="s">
        <v>22</v>
      </c>
      <c r="H34" s="2">
        <v>637.5</v>
      </c>
      <c r="I34" s="1" t="s">
        <v>185</v>
      </c>
      <c r="J34" s="1" t="s">
        <v>186</v>
      </c>
      <c r="K34" s="1" t="s">
        <v>25</v>
      </c>
      <c r="L34" s="3"/>
      <c r="M34" s="4" t="s">
        <v>26</v>
      </c>
      <c r="N34" s="3"/>
      <c r="O34" s="3"/>
      <c r="P34" s="3"/>
    </row>
    <row r="35" spans="1:16" ht="56" customHeight="1">
      <c r="A35" s="1" t="s">
        <v>187</v>
      </c>
      <c r="B35" s="1" t="s">
        <v>17</v>
      </c>
      <c r="C35" s="1" t="s">
        <v>188</v>
      </c>
      <c r="D35" s="1" t="s">
        <v>19</v>
      </c>
      <c r="E35" s="1" t="s">
        <v>20</v>
      </c>
      <c r="F35" s="1" t="s">
        <v>189</v>
      </c>
      <c r="G35" s="1" t="s">
        <v>22</v>
      </c>
      <c r="H35" s="2">
        <v>637.5</v>
      </c>
      <c r="I35" s="1" t="s">
        <v>190</v>
      </c>
      <c r="J35" s="1" t="s">
        <v>191</v>
      </c>
      <c r="K35" s="1" t="s">
        <v>25</v>
      </c>
      <c r="L35" s="3"/>
      <c r="M35" s="4" t="s">
        <v>26</v>
      </c>
      <c r="N35" s="3"/>
      <c r="O35" s="3"/>
      <c r="P35" s="3"/>
    </row>
    <row r="36" spans="1:16" ht="56" customHeight="1">
      <c r="A36" s="1" t="s">
        <v>192</v>
      </c>
      <c r="B36" s="1" t="s">
        <v>17</v>
      </c>
      <c r="C36" s="1" t="s">
        <v>193</v>
      </c>
      <c r="D36" s="1" t="s">
        <v>19</v>
      </c>
      <c r="E36" s="1" t="s">
        <v>20</v>
      </c>
      <c r="F36" s="1" t="s">
        <v>194</v>
      </c>
      <c r="G36" s="1" t="s">
        <v>22</v>
      </c>
      <c r="H36" s="2">
        <v>950</v>
      </c>
      <c r="I36" s="1" t="s">
        <v>195</v>
      </c>
      <c r="J36" s="1" t="s">
        <v>196</v>
      </c>
      <c r="K36" s="1" t="s">
        <v>25</v>
      </c>
      <c r="L36" s="3"/>
      <c r="M36" s="4" t="s">
        <v>26</v>
      </c>
      <c r="N36" s="3"/>
      <c r="O36" s="3"/>
      <c r="P36" s="3"/>
    </row>
    <row r="37" spans="1:16" ht="56" customHeight="1">
      <c r="A37" s="1" t="s">
        <v>197</v>
      </c>
      <c r="B37" s="1" t="s">
        <v>17</v>
      </c>
      <c r="C37" s="1" t="s">
        <v>198</v>
      </c>
      <c r="D37" s="1" t="s">
        <v>19</v>
      </c>
      <c r="E37" s="1" t="s">
        <v>20</v>
      </c>
      <c r="F37" s="1" t="s">
        <v>199</v>
      </c>
      <c r="G37" s="1" t="s">
        <v>22</v>
      </c>
      <c r="H37" s="2">
        <v>450</v>
      </c>
      <c r="I37" s="1" t="s">
        <v>200</v>
      </c>
      <c r="J37" s="1" t="s">
        <v>201</v>
      </c>
      <c r="K37" s="1" t="s">
        <v>25</v>
      </c>
      <c r="L37" s="3"/>
      <c r="M37" s="4" t="s">
        <v>26</v>
      </c>
      <c r="N37" s="3"/>
      <c r="O37" s="3"/>
      <c r="P37" s="3"/>
    </row>
    <row r="38" spans="1:16" ht="56" customHeight="1">
      <c r="A38" s="1" t="s">
        <v>202</v>
      </c>
      <c r="B38" s="1" t="s">
        <v>17</v>
      </c>
      <c r="C38" s="1" t="s">
        <v>203</v>
      </c>
      <c r="D38" s="1" t="s">
        <v>19</v>
      </c>
      <c r="E38" s="1" t="s">
        <v>20</v>
      </c>
      <c r="F38" s="1" t="s">
        <v>204</v>
      </c>
      <c r="G38" s="1" t="s">
        <v>22</v>
      </c>
      <c r="H38" s="2">
        <v>762.5</v>
      </c>
      <c r="I38" s="1" t="s">
        <v>205</v>
      </c>
      <c r="J38" s="1" t="s">
        <v>206</v>
      </c>
      <c r="K38" s="1" t="s">
        <v>25</v>
      </c>
      <c r="L38" s="3"/>
      <c r="M38" s="4" t="s">
        <v>26</v>
      </c>
      <c r="N38" s="3"/>
      <c r="O38" s="3"/>
      <c r="P38" s="3"/>
    </row>
    <row r="39" spans="1:16" ht="56" customHeight="1">
      <c r="A39" s="1" t="s">
        <v>207</v>
      </c>
      <c r="B39" s="1" t="s">
        <v>17</v>
      </c>
      <c r="C39" s="1" t="s">
        <v>208</v>
      </c>
      <c r="D39" s="1" t="s">
        <v>19</v>
      </c>
      <c r="E39" s="1" t="s">
        <v>20</v>
      </c>
      <c r="F39" s="1" t="s">
        <v>209</v>
      </c>
      <c r="G39" s="1" t="s">
        <v>22</v>
      </c>
      <c r="H39" s="2">
        <v>825</v>
      </c>
      <c r="I39" s="1" t="s">
        <v>210</v>
      </c>
      <c r="J39" s="1" t="s">
        <v>211</v>
      </c>
      <c r="K39" s="1" t="s">
        <v>25</v>
      </c>
      <c r="L39" s="3"/>
      <c r="M39" s="4" t="s">
        <v>26</v>
      </c>
      <c r="N39" s="3"/>
      <c r="O39" s="3"/>
      <c r="P39" s="3"/>
    </row>
    <row r="40" spans="1:16" ht="56" customHeight="1">
      <c r="A40" s="1" t="s">
        <v>212</v>
      </c>
      <c r="B40" s="1" t="s">
        <v>17</v>
      </c>
      <c r="C40" s="1" t="s">
        <v>213</v>
      </c>
      <c r="D40" s="1" t="s">
        <v>19</v>
      </c>
      <c r="E40" s="1" t="s">
        <v>20</v>
      </c>
      <c r="F40" s="1" t="s">
        <v>214</v>
      </c>
      <c r="G40" s="1" t="s">
        <v>22</v>
      </c>
      <c r="H40" s="2">
        <v>887.5</v>
      </c>
      <c r="I40" s="1" t="s">
        <v>215</v>
      </c>
      <c r="J40" s="1" t="s">
        <v>216</v>
      </c>
      <c r="K40" s="1" t="s">
        <v>25</v>
      </c>
      <c r="L40" s="3"/>
      <c r="M40" s="4" t="s">
        <v>26</v>
      </c>
      <c r="N40" s="3"/>
      <c r="O40" s="3"/>
      <c r="P40" s="3"/>
    </row>
    <row r="41" spans="1:16" ht="56" customHeight="1">
      <c r="A41" s="1" t="s">
        <v>217</v>
      </c>
      <c r="B41" s="1" t="s">
        <v>17</v>
      </c>
      <c r="C41" s="1" t="s">
        <v>218</v>
      </c>
      <c r="D41" s="1" t="s">
        <v>19</v>
      </c>
      <c r="E41" s="1" t="s">
        <v>20</v>
      </c>
      <c r="F41" s="1" t="s">
        <v>219</v>
      </c>
      <c r="G41" s="1" t="s">
        <v>22</v>
      </c>
      <c r="H41" s="2">
        <v>387.5</v>
      </c>
      <c r="I41" s="1" t="s">
        <v>220</v>
      </c>
      <c r="J41" s="1" t="s">
        <v>221</v>
      </c>
      <c r="K41" s="1" t="s">
        <v>25</v>
      </c>
      <c r="L41" s="3"/>
      <c r="M41" s="4" t="s">
        <v>26</v>
      </c>
      <c r="N41" s="3"/>
      <c r="O41" s="3"/>
      <c r="P41" s="3"/>
    </row>
    <row r="42" spans="1:16" ht="56" customHeight="1">
      <c r="A42" s="1" t="s">
        <v>222</v>
      </c>
      <c r="B42" s="1" t="s">
        <v>223</v>
      </c>
      <c r="C42" s="1" t="s">
        <v>224</v>
      </c>
      <c r="D42" s="1" t="s">
        <v>19</v>
      </c>
      <c r="E42" s="1" t="s">
        <v>225</v>
      </c>
      <c r="F42" s="1" t="s">
        <v>226</v>
      </c>
      <c r="G42" s="1" t="s">
        <v>227</v>
      </c>
      <c r="H42" s="2"/>
      <c r="I42" s="1" t="s">
        <v>228</v>
      </c>
      <c r="J42" s="1" t="s">
        <v>229</v>
      </c>
      <c r="K42" s="1" t="s">
        <v>25</v>
      </c>
      <c r="L42" s="3"/>
      <c r="M42" s="4" t="s">
        <v>26</v>
      </c>
      <c r="N42" s="3"/>
      <c r="O42" s="3"/>
      <c r="P42" s="3"/>
    </row>
    <row r="43" spans="1:16" ht="56" customHeight="1">
      <c r="A43" s="1" t="s">
        <v>230</v>
      </c>
      <c r="B43" s="1" t="s">
        <v>223</v>
      </c>
      <c r="C43" s="1" t="s">
        <v>231</v>
      </c>
      <c r="D43" s="1" t="s">
        <v>19</v>
      </c>
      <c r="E43" s="1" t="s">
        <v>225</v>
      </c>
      <c r="F43" s="1" t="s">
        <v>226</v>
      </c>
      <c r="G43" s="1" t="s">
        <v>227</v>
      </c>
      <c r="H43" s="2"/>
      <c r="I43" s="1" t="s">
        <v>232</v>
      </c>
      <c r="J43" s="1" t="s">
        <v>233</v>
      </c>
      <c r="K43" s="1" t="s">
        <v>25</v>
      </c>
      <c r="L43" s="3"/>
      <c r="M43" s="4" t="s">
        <v>26</v>
      </c>
      <c r="N43" s="3"/>
      <c r="O43" s="3"/>
      <c r="P43" s="3"/>
    </row>
    <row r="44" spans="1:16" ht="56" customHeight="1">
      <c r="A44" s="1" t="s">
        <v>234</v>
      </c>
      <c r="B44" s="1" t="s">
        <v>223</v>
      </c>
      <c r="C44" s="1" t="s">
        <v>235</v>
      </c>
      <c r="D44" s="1" t="s">
        <v>19</v>
      </c>
      <c r="E44" s="1" t="s">
        <v>225</v>
      </c>
      <c r="F44" s="1" t="s">
        <v>226</v>
      </c>
      <c r="G44" s="1" t="s">
        <v>227</v>
      </c>
      <c r="H44" s="2"/>
      <c r="I44" s="1" t="s">
        <v>236</v>
      </c>
      <c r="J44" s="1" t="s">
        <v>237</v>
      </c>
      <c r="K44" s="1" t="s">
        <v>25</v>
      </c>
      <c r="L44" s="3"/>
      <c r="M44" s="4" t="s">
        <v>26</v>
      </c>
      <c r="N44" s="3"/>
      <c r="O44" s="3"/>
      <c r="P44" s="3"/>
    </row>
    <row r="45" spans="1:16" ht="56" customHeight="1">
      <c r="A45" s="1" t="s">
        <v>238</v>
      </c>
      <c r="B45" s="1" t="s">
        <v>239</v>
      </c>
      <c r="C45" s="1" t="s">
        <v>240</v>
      </c>
      <c r="D45" s="1" t="s">
        <v>19</v>
      </c>
      <c r="E45" s="1" t="s">
        <v>241</v>
      </c>
      <c r="F45" s="1" t="s">
        <v>242</v>
      </c>
      <c r="G45" s="1" t="s">
        <v>243</v>
      </c>
      <c r="H45" s="2"/>
      <c r="I45" s="1" t="s">
        <v>244</v>
      </c>
      <c r="J45" s="1" t="s">
        <v>245</v>
      </c>
      <c r="K45" s="1" t="s">
        <v>25</v>
      </c>
      <c r="L45" s="3"/>
      <c r="M45" s="4" t="s">
        <v>26</v>
      </c>
      <c r="N45" s="3"/>
      <c r="O45" s="3"/>
      <c r="P45" s="3"/>
    </row>
    <row r="46" spans="1:16" ht="56" customHeight="1">
      <c r="A46" s="1" t="s">
        <v>246</v>
      </c>
      <c r="B46" s="1" t="s">
        <v>247</v>
      </c>
      <c r="C46" s="1" t="s">
        <v>248</v>
      </c>
      <c r="D46" s="1" t="s">
        <v>19</v>
      </c>
      <c r="E46" s="1" t="s">
        <v>249</v>
      </c>
      <c r="F46" s="1" t="s">
        <v>250</v>
      </c>
      <c r="G46" s="1" t="s">
        <v>251</v>
      </c>
      <c r="H46" s="2"/>
      <c r="I46" s="1" t="s">
        <v>252</v>
      </c>
      <c r="J46" s="1" t="s">
        <v>253</v>
      </c>
      <c r="K46" s="1" t="s">
        <v>25</v>
      </c>
      <c r="L46" s="3"/>
      <c r="M46" s="4" t="s">
        <v>26</v>
      </c>
      <c r="N46" s="3"/>
      <c r="O46" s="3"/>
      <c r="P46" s="3"/>
    </row>
    <row r="47" spans="1:16" ht="56" customHeight="1">
      <c r="A47" s="1" t="s">
        <v>254</v>
      </c>
      <c r="B47" s="1" t="s">
        <v>247</v>
      </c>
      <c r="C47" s="1" t="s">
        <v>255</v>
      </c>
      <c r="D47" s="1" t="s">
        <v>19</v>
      </c>
      <c r="E47" s="1" t="s">
        <v>249</v>
      </c>
      <c r="F47" s="1" t="s">
        <v>250</v>
      </c>
      <c r="G47" s="1" t="s">
        <v>251</v>
      </c>
      <c r="H47" s="2"/>
      <c r="I47" s="1" t="s">
        <v>256</v>
      </c>
      <c r="J47" s="1" t="s">
        <v>257</v>
      </c>
      <c r="K47" s="1" t="s">
        <v>25</v>
      </c>
      <c r="L47" s="3"/>
      <c r="M47" s="4" t="s">
        <v>26</v>
      </c>
      <c r="N47" s="3"/>
      <c r="O47" s="3"/>
      <c r="P47" s="3"/>
    </row>
    <row r="48" spans="1:16" ht="56" customHeight="1">
      <c r="A48" s="1" t="s">
        <v>258</v>
      </c>
      <c r="B48" s="1" t="s">
        <v>259</v>
      </c>
      <c r="C48" s="1" t="s">
        <v>260</v>
      </c>
      <c r="D48" s="1" t="s">
        <v>19</v>
      </c>
      <c r="E48" s="1" t="s">
        <v>249</v>
      </c>
      <c r="F48" s="1" t="s">
        <v>261</v>
      </c>
      <c r="G48" s="1" t="s">
        <v>262</v>
      </c>
      <c r="H48" s="2"/>
      <c r="I48" s="1" t="s">
        <v>256</v>
      </c>
      <c r="J48" s="1" t="s">
        <v>257</v>
      </c>
      <c r="K48" s="1" t="s">
        <v>25</v>
      </c>
      <c r="L48" s="3"/>
      <c r="M48" s="4" t="s">
        <v>26</v>
      </c>
      <c r="N48" s="3"/>
      <c r="O48" s="3"/>
      <c r="P48" s="3"/>
    </row>
    <row r="49" spans="1:16" ht="56" customHeight="1">
      <c r="A49" s="1" t="s">
        <v>263</v>
      </c>
      <c r="B49" s="1" t="s">
        <v>264</v>
      </c>
      <c r="C49" s="1" t="s">
        <v>265</v>
      </c>
      <c r="D49" s="1" t="s">
        <v>266</v>
      </c>
      <c r="E49" s="1" t="s">
        <v>267</v>
      </c>
      <c r="F49" s="1" t="s">
        <v>268</v>
      </c>
      <c r="G49" s="1" t="s">
        <v>269</v>
      </c>
      <c r="H49" s="2"/>
      <c r="I49" s="1" t="s">
        <v>270</v>
      </c>
      <c r="J49" s="1" t="s">
        <v>271</v>
      </c>
      <c r="K49" s="1" t="s">
        <v>25</v>
      </c>
      <c r="L49" s="3"/>
      <c r="M49" s="4" t="s">
        <v>26</v>
      </c>
      <c r="N49" s="3"/>
      <c r="O49" s="3"/>
      <c r="P49" s="3"/>
    </row>
    <row r="50" spans="1:16" ht="56" customHeight="1">
      <c r="A50" s="1" t="s">
        <v>272</v>
      </c>
      <c r="B50" s="1" t="s">
        <v>17</v>
      </c>
      <c r="C50" s="1" t="s">
        <v>273</v>
      </c>
      <c r="D50" s="1" t="s">
        <v>266</v>
      </c>
      <c r="E50" s="1" t="s">
        <v>20</v>
      </c>
      <c r="F50" s="1" t="s">
        <v>274</v>
      </c>
      <c r="G50" s="1" t="s">
        <v>22</v>
      </c>
      <c r="H50" s="2">
        <v>825</v>
      </c>
      <c r="I50" s="1" t="s">
        <v>275</v>
      </c>
      <c r="J50" s="1" t="s">
        <v>276</v>
      </c>
      <c r="K50" s="1" t="s">
        <v>25</v>
      </c>
      <c r="L50" s="3"/>
      <c r="M50" s="4" t="s">
        <v>26</v>
      </c>
      <c r="N50" s="3"/>
      <c r="O50" s="3"/>
      <c r="P50" s="3"/>
    </row>
    <row r="51" spans="1:16" ht="56" customHeight="1">
      <c r="A51" s="1" t="s">
        <v>277</v>
      </c>
      <c r="B51" s="1" t="s">
        <v>17</v>
      </c>
      <c r="C51" s="1" t="s">
        <v>278</v>
      </c>
      <c r="D51" s="1" t="s">
        <v>266</v>
      </c>
      <c r="E51" s="1" t="s">
        <v>20</v>
      </c>
      <c r="F51" s="1" t="s">
        <v>279</v>
      </c>
      <c r="G51" s="1" t="s">
        <v>22</v>
      </c>
      <c r="H51" s="2">
        <v>575</v>
      </c>
      <c r="I51" s="1" t="s">
        <v>280</v>
      </c>
      <c r="J51" s="1" t="s">
        <v>281</v>
      </c>
      <c r="K51" s="1" t="s">
        <v>25</v>
      </c>
      <c r="L51" s="3"/>
      <c r="M51" s="4" t="s">
        <v>26</v>
      </c>
      <c r="N51" s="3"/>
      <c r="O51" s="3"/>
      <c r="P51" s="3"/>
    </row>
    <row r="52" spans="1:16" ht="56" customHeight="1">
      <c r="A52" s="1" t="s">
        <v>282</v>
      </c>
      <c r="B52" s="1" t="s">
        <v>17</v>
      </c>
      <c r="C52" s="1" t="s">
        <v>283</v>
      </c>
      <c r="D52" s="1" t="s">
        <v>266</v>
      </c>
      <c r="E52" s="1" t="s">
        <v>20</v>
      </c>
      <c r="F52" s="1" t="s">
        <v>284</v>
      </c>
      <c r="G52" s="1" t="s">
        <v>22</v>
      </c>
      <c r="H52" s="2">
        <v>950</v>
      </c>
      <c r="I52" s="1" t="s">
        <v>285</v>
      </c>
      <c r="J52" s="1" t="s">
        <v>286</v>
      </c>
      <c r="K52" s="1" t="s">
        <v>25</v>
      </c>
      <c r="L52" s="3"/>
      <c r="M52" s="4" t="s">
        <v>26</v>
      </c>
      <c r="N52" s="3"/>
      <c r="O52" s="3"/>
      <c r="P52" s="3"/>
    </row>
    <row r="53" spans="1:16" ht="56" customHeight="1">
      <c r="A53" s="1" t="s">
        <v>287</v>
      </c>
      <c r="B53" s="1" t="s">
        <v>17</v>
      </c>
      <c r="C53" s="1" t="s">
        <v>288</v>
      </c>
      <c r="D53" s="1" t="s">
        <v>266</v>
      </c>
      <c r="E53" s="1" t="s">
        <v>20</v>
      </c>
      <c r="F53" s="1" t="s">
        <v>289</v>
      </c>
      <c r="G53" s="1" t="s">
        <v>22</v>
      </c>
      <c r="H53" s="2">
        <v>850</v>
      </c>
      <c r="I53" s="1" t="s">
        <v>290</v>
      </c>
      <c r="J53" s="1" t="s">
        <v>291</v>
      </c>
      <c r="K53" s="1" t="s">
        <v>25</v>
      </c>
      <c r="L53" s="3"/>
      <c r="M53" s="4" t="s">
        <v>26</v>
      </c>
      <c r="N53" s="3"/>
      <c r="O53" s="3"/>
      <c r="P53" s="3"/>
    </row>
    <row r="54" spans="1:16" ht="56" customHeight="1">
      <c r="A54" s="1" t="s">
        <v>292</v>
      </c>
      <c r="B54" s="1" t="s">
        <v>17</v>
      </c>
      <c r="C54" s="1" t="s">
        <v>293</v>
      </c>
      <c r="D54" s="1" t="s">
        <v>266</v>
      </c>
      <c r="E54" s="1" t="s">
        <v>20</v>
      </c>
      <c r="F54" s="1" t="s">
        <v>294</v>
      </c>
      <c r="G54" s="1" t="s">
        <v>22</v>
      </c>
      <c r="H54" s="2">
        <v>700</v>
      </c>
      <c r="I54" s="1" t="s">
        <v>295</v>
      </c>
      <c r="J54" s="1" t="s">
        <v>296</v>
      </c>
      <c r="K54" s="1" t="s">
        <v>25</v>
      </c>
      <c r="L54" s="3"/>
      <c r="M54" s="4" t="s">
        <v>26</v>
      </c>
      <c r="N54" s="3"/>
      <c r="O54" s="3"/>
      <c r="P54" s="3"/>
    </row>
    <row r="55" spans="1:16" ht="56" customHeight="1">
      <c r="A55" s="1" t="s">
        <v>297</v>
      </c>
      <c r="B55" s="1" t="s">
        <v>17</v>
      </c>
      <c r="C55" s="1" t="s">
        <v>298</v>
      </c>
      <c r="D55" s="1" t="s">
        <v>266</v>
      </c>
      <c r="E55" s="1" t="s">
        <v>20</v>
      </c>
      <c r="F55" s="1" t="s">
        <v>299</v>
      </c>
      <c r="G55" s="1" t="s">
        <v>22</v>
      </c>
      <c r="H55" s="2">
        <v>762.5</v>
      </c>
      <c r="I55" s="1" t="s">
        <v>300</v>
      </c>
      <c r="J55" s="1" t="s">
        <v>301</v>
      </c>
      <c r="K55" s="1" t="s">
        <v>25</v>
      </c>
      <c r="L55" s="3"/>
      <c r="M55" s="4" t="s">
        <v>26</v>
      </c>
      <c r="N55" s="3"/>
      <c r="O55" s="3"/>
      <c r="P55" s="3"/>
    </row>
    <row r="56" spans="1:16" ht="56" customHeight="1">
      <c r="A56" s="1" t="s">
        <v>302</v>
      </c>
      <c r="B56" s="1" t="s">
        <v>17</v>
      </c>
      <c r="C56" s="1" t="s">
        <v>303</v>
      </c>
      <c r="D56" s="1" t="s">
        <v>266</v>
      </c>
      <c r="E56" s="1" t="s">
        <v>20</v>
      </c>
      <c r="F56" s="1" t="s">
        <v>304</v>
      </c>
      <c r="G56" s="1" t="s">
        <v>22</v>
      </c>
      <c r="H56" s="2">
        <v>450</v>
      </c>
      <c r="I56" s="1" t="s">
        <v>305</v>
      </c>
      <c r="J56" s="1" t="s">
        <v>306</v>
      </c>
      <c r="K56" s="1" t="s">
        <v>25</v>
      </c>
      <c r="L56" s="3"/>
      <c r="M56" s="4" t="s">
        <v>26</v>
      </c>
      <c r="N56" s="3"/>
      <c r="O56" s="3"/>
      <c r="P56" s="3"/>
    </row>
    <row r="57" spans="1:16" ht="56" customHeight="1">
      <c r="A57" s="1" t="s">
        <v>307</v>
      </c>
      <c r="B57" s="1" t="s">
        <v>17</v>
      </c>
      <c r="C57" s="1" t="s">
        <v>308</v>
      </c>
      <c r="D57" s="1" t="s">
        <v>266</v>
      </c>
      <c r="E57" s="1" t="s">
        <v>20</v>
      </c>
      <c r="F57" s="1" t="s">
        <v>309</v>
      </c>
      <c r="G57" s="1" t="s">
        <v>22</v>
      </c>
      <c r="H57" s="2">
        <v>637.5</v>
      </c>
      <c r="I57" s="1" t="s">
        <v>310</v>
      </c>
      <c r="J57" s="1" t="s">
        <v>311</v>
      </c>
      <c r="K57" s="1" t="s">
        <v>25</v>
      </c>
      <c r="L57" s="3"/>
      <c r="M57" s="4" t="s">
        <v>26</v>
      </c>
      <c r="N57" s="3"/>
      <c r="O57" s="3"/>
      <c r="P57" s="3"/>
    </row>
    <row r="58" spans="1:16" ht="56" customHeight="1">
      <c r="A58" s="1" t="s">
        <v>312</v>
      </c>
      <c r="B58" s="1" t="s">
        <v>17</v>
      </c>
      <c r="C58" s="1" t="s">
        <v>313</v>
      </c>
      <c r="D58" s="1" t="s">
        <v>266</v>
      </c>
      <c r="E58" s="1" t="s">
        <v>20</v>
      </c>
      <c r="F58" s="1" t="s">
        <v>314</v>
      </c>
      <c r="G58" s="1" t="s">
        <v>22</v>
      </c>
      <c r="H58" s="2">
        <v>512.5</v>
      </c>
      <c r="I58" s="1" t="s">
        <v>315</v>
      </c>
      <c r="J58" s="1" t="s">
        <v>316</v>
      </c>
      <c r="K58" s="1" t="s">
        <v>25</v>
      </c>
      <c r="L58" s="3"/>
      <c r="M58" s="4" t="s">
        <v>26</v>
      </c>
      <c r="N58" s="3"/>
      <c r="O58" s="3"/>
      <c r="P58" s="3"/>
    </row>
    <row r="59" spans="1:16" ht="56" customHeight="1">
      <c r="A59" s="1" t="s">
        <v>317</v>
      </c>
      <c r="B59" s="1" t="s">
        <v>17</v>
      </c>
      <c r="C59" s="1" t="s">
        <v>318</v>
      </c>
      <c r="D59" s="1" t="s">
        <v>266</v>
      </c>
      <c r="E59" s="1" t="s">
        <v>20</v>
      </c>
      <c r="F59" s="1" t="s">
        <v>319</v>
      </c>
      <c r="G59" s="1" t="s">
        <v>22</v>
      </c>
      <c r="H59" s="2">
        <v>325</v>
      </c>
      <c r="I59" s="1" t="s">
        <v>320</v>
      </c>
      <c r="J59" s="1" t="s">
        <v>321</v>
      </c>
      <c r="K59" s="1" t="s">
        <v>25</v>
      </c>
      <c r="L59" s="3"/>
      <c r="M59" s="4" t="s">
        <v>26</v>
      </c>
      <c r="N59" s="3"/>
      <c r="O59" s="3"/>
      <c r="P59" s="3"/>
    </row>
    <row r="60" spans="1:16" ht="56" customHeight="1">
      <c r="A60" s="1" t="s">
        <v>322</v>
      </c>
      <c r="B60" s="1" t="s">
        <v>323</v>
      </c>
      <c r="C60" s="1" t="s">
        <v>324</v>
      </c>
      <c r="D60" s="1" t="s">
        <v>266</v>
      </c>
      <c r="E60" s="1" t="s">
        <v>267</v>
      </c>
      <c r="F60" s="1" t="s">
        <v>325</v>
      </c>
      <c r="G60" s="1" t="s">
        <v>326</v>
      </c>
      <c r="H60" s="2"/>
      <c r="I60" s="1" t="s">
        <v>327</v>
      </c>
      <c r="J60" s="1" t="s">
        <v>328</v>
      </c>
      <c r="K60" s="1" t="s">
        <v>25</v>
      </c>
      <c r="L60" s="3"/>
      <c r="M60" s="4" t="s">
        <v>26</v>
      </c>
      <c r="N60" s="3"/>
      <c r="O60" s="3"/>
      <c r="P60" s="3"/>
    </row>
    <row r="61" spans="1:16" ht="56" customHeight="1">
      <c r="A61" s="1" t="s">
        <v>329</v>
      </c>
      <c r="B61" s="1" t="s">
        <v>223</v>
      </c>
      <c r="C61" s="1" t="s">
        <v>330</v>
      </c>
      <c r="D61" s="1" t="s">
        <v>266</v>
      </c>
      <c r="E61" s="1" t="s">
        <v>225</v>
      </c>
      <c r="F61" s="1" t="s">
        <v>331</v>
      </c>
      <c r="G61" s="1" t="s">
        <v>227</v>
      </c>
      <c r="H61" s="2"/>
      <c r="I61" s="1" t="s">
        <v>332</v>
      </c>
      <c r="J61" s="1" t="s">
        <v>333</v>
      </c>
      <c r="K61" s="1" t="s">
        <v>25</v>
      </c>
      <c r="L61" s="3"/>
      <c r="M61" s="4" t="s">
        <v>26</v>
      </c>
      <c r="N61" s="3"/>
      <c r="O61" s="3"/>
      <c r="P61" s="3"/>
    </row>
    <row r="62" spans="1:16" ht="56" customHeight="1">
      <c r="A62" s="1" t="s">
        <v>334</v>
      </c>
      <c r="B62" s="1" t="s">
        <v>335</v>
      </c>
      <c r="C62" s="1" t="s">
        <v>336</v>
      </c>
      <c r="D62" s="1" t="s">
        <v>266</v>
      </c>
      <c r="E62" s="1" t="s">
        <v>241</v>
      </c>
      <c r="F62" s="1" t="s">
        <v>337</v>
      </c>
      <c r="G62" s="1" t="s">
        <v>338</v>
      </c>
      <c r="H62" s="2"/>
      <c r="I62" s="1" t="s">
        <v>339</v>
      </c>
      <c r="J62" s="1" t="s">
        <v>340</v>
      </c>
      <c r="K62" s="1" t="s">
        <v>25</v>
      </c>
      <c r="L62" s="3"/>
      <c r="M62" s="4" t="s">
        <v>26</v>
      </c>
      <c r="N62" s="3"/>
      <c r="O62" s="3"/>
      <c r="P62" s="3"/>
    </row>
    <row r="63" spans="1:16" ht="56" customHeight="1">
      <c r="A63" s="1" t="s">
        <v>341</v>
      </c>
      <c r="B63" s="1" t="s">
        <v>342</v>
      </c>
      <c r="C63" s="1" t="s">
        <v>343</v>
      </c>
      <c r="D63" s="1" t="s">
        <v>344</v>
      </c>
      <c r="E63" s="1" t="s">
        <v>267</v>
      </c>
      <c r="F63" s="1" t="s">
        <v>345</v>
      </c>
      <c r="G63" s="1" t="s">
        <v>346</v>
      </c>
      <c r="H63" s="2"/>
      <c r="I63" s="1" t="s">
        <v>347</v>
      </c>
      <c r="J63" s="1" t="s">
        <v>348</v>
      </c>
      <c r="K63" s="1" t="s">
        <v>25</v>
      </c>
      <c r="L63" s="3"/>
      <c r="M63" s="4" t="s">
        <v>26</v>
      </c>
      <c r="N63" s="3"/>
      <c r="O63" s="3"/>
      <c r="P63" s="3"/>
    </row>
    <row r="64" spans="1:16" ht="56" customHeight="1">
      <c r="A64" s="1" t="s">
        <v>349</v>
      </c>
      <c r="B64" s="1" t="s">
        <v>350</v>
      </c>
      <c r="C64" s="1" t="s">
        <v>351</v>
      </c>
      <c r="D64" s="1" t="s">
        <v>344</v>
      </c>
      <c r="E64" s="1" t="s">
        <v>352</v>
      </c>
      <c r="F64" s="1" t="s">
        <v>353</v>
      </c>
      <c r="G64" s="1" t="s">
        <v>346</v>
      </c>
      <c r="H64" s="2"/>
      <c r="I64" s="1" t="s">
        <v>354</v>
      </c>
      <c r="J64" s="1" t="s">
        <v>355</v>
      </c>
      <c r="K64" s="1" t="s">
        <v>25</v>
      </c>
      <c r="L64" s="3"/>
      <c r="M64" s="4" t="s">
        <v>26</v>
      </c>
      <c r="N64" s="3"/>
      <c r="O64" s="3"/>
      <c r="P64" s="3"/>
    </row>
    <row r="65" spans="1:16" ht="56" customHeight="1">
      <c r="A65" s="1" t="s">
        <v>356</v>
      </c>
      <c r="B65" s="1" t="s">
        <v>357</v>
      </c>
      <c r="C65" s="1" t="s">
        <v>358</v>
      </c>
      <c r="D65" s="1" t="s">
        <v>344</v>
      </c>
      <c r="E65" s="1" t="s">
        <v>359</v>
      </c>
      <c r="F65" s="1" t="s">
        <v>360</v>
      </c>
      <c r="G65" s="1" t="s">
        <v>346</v>
      </c>
      <c r="H65" s="2"/>
      <c r="I65" s="1" t="s">
        <v>361</v>
      </c>
      <c r="J65" s="1" t="s">
        <v>362</v>
      </c>
      <c r="K65" s="1" t="s">
        <v>25</v>
      </c>
      <c r="L65" s="3"/>
      <c r="M65" s="4" t="s">
        <v>26</v>
      </c>
      <c r="N65" s="3"/>
      <c r="O65" s="3"/>
      <c r="P65" s="3"/>
    </row>
    <row r="66" spans="1:16" ht="56" customHeight="1">
      <c r="A66" s="1" t="s">
        <v>363</v>
      </c>
      <c r="B66" s="1" t="s">
        <v>364</v>
      </c>
      <c r="C66" s="1" t="s">
        <v>365</v>
      </c>
      <c r="D66" s="1" t="s">
        <v>344</v>
      </c>
      <c r="E66" s="1" t="s">
        <v>366</v>
      </c>
      <c r="F66" s="1" t="s">
        <v>367</v>
      </c>
      <c r="G66" s="1" t="s">
        <v>346</v>
      </c>
      <c r="H66" s="2"/>
      <c r="I66" s="1" t="s">
        <v>368</v>
      </c>
      <c r="J66" s="1" t="s">
        <v>369</v>
      </c>
      <c r="K66" s="1" t="s">
        <v>25</v>
      </c>
      <c r="L66" s="3"/>
      <c r="M66" s="4" t="s">
        <v>26</v>
      </c>
      <c r="N66" s="3"/>
      <c r="O66" s="3"/>
      <c r="P66" s="3"/>
    </row>
    <row r="67" spans="1:16" ht="56" customHeight="1">
      <c r="A67" s="1" t="s">
        <v>370</v>
      </c>
      <c r="B67" s="1" t="s">
        <v>371</v>
      </c>
      <c r="C67" s="1" t="s">
        <v>358</v>
      </c>
      <c r="D67" s="1" t="s">
        <v>344</v>
      </c>
      <c r="E67" s="1" t="s">
        <v>359</v>
      </c>
      <c r="F67" s="1" t="s">
        <v>372</v>
      </c>
      <c r="G67" s="1" t="s">
        <v>346</v>
      </c>
      <c r="H67" s="2"/>
      <c r="I67" s="1" t="s">
        <v>373</v>
      </c>
      <c r="J67" s="1" t="s">
        <v>374</v>
      </c>
      <c r="K67" s="1" t="s">
        <v>25</v>
      </c>
      <c r="L67" s="3"/>
      <c r="M67" s="4" t="s">
        <v>26</v>
      </c>
      <c r="N67" s="3"/>
      <c r="O67" s="3"/>
      <c r="P67" s="3"/>
    </row>
    <row r="68" spans="1:16" ht="56" customHeight="1">
      <c r="A68" s="1" t="s">
        <v>375</v>
      </c>
      <c r="B68" s="1" t="s">
        <v>376</v>
      </c>
      <c r="C68" s="1" t="s">
        <v>377</v>
      </c>
      <c r="D68" s="1" t="s">
        <v>344</v>
      </c>
      <c r="E68" s="1" t="s">
        <v>378</v>
      </c>
      <c r="F68" s="1" t="s">
        <v>379</v>
      </c>
      <c r="G68" s="1" t="s">
        <v>346</v>
      </c>
      <c r="H68" s="2"/>
      <c r="I68" s="1" t="s">
        <v>380</v>
      </c>
      <c r="J68" s="1" t="s">
        <v>381</v>
      </c>
      <c r="K68" s="1" t="s">
        <v>25</v>
      </c>
      <c r="L68" s="3"/>
      <c r="M68" s="4" t="s">
        <v>26</v>
      </c>
      <c r="N68" s="3"/>
      <c r="O68" s="3"/>
      <c r="P68" s="3"/>
    </row>
    <row r="69" spans="1:16" ht="56" customHeight="1">
      <c r="A69" s="1" t="s">
        <v>382</v>
      </c>
      <c r="B69" s="1" t="s">
        <v>383</v>
      </c>
      <c r="C69" s="1" t="s">
        <v>384</v>
      </c>
      <c r="D69" s="1" t="s">
        <v>344</v>
      </c>
      <c r="E69" s="1" t="s">
        <v>20</v>
      </c>
      <c r="F69" s="1" t="s">
        <v>385</v>
      </c>
      <c r="G69" s="1" t="s">
        <v>346</v>
      </c>
      <c r="H69" s="2"/>
      <c r="I69" s="1" t="s">
        <v>386</v>
      </c>
      <c r="J69" s="1" t="s">
        <v>387</v>
      </c>
      <c r="K69" s="1" t="s">
        <v>25</v>
      </c>
      <c r="L69" s="3"/>
      <c r="M69" s="4" t="s">
        <v>26</v>
      </c>
      <c r="N69" s="3"/>
      <c r="O69" s="3"/>
      <c r="P69" s="3"/>
    </row>
    <row r="70" spans="1:16" ht="56" customHeight="1">
      <c r="A70" s="1" t="s">
        <v>388</v>
      </c>
      <c r="B70" s="1" t="s">
        <v>389</v>
      </c>
      <c r="C70" s="1" t="s">
        <v>390</v>
      </c>
      <c r="D70" s="1" t="s">
        <v>344</v>
      </c>
      <c r="E70" s="1" t="s">
        <v>391</v>
      </c>
      <c r="F70" s="1" t="s">
        <v>392</v>
      </c>
      <c r="G70" s="1" t="s">
        <v>346</v>
      </c>
      <c r="H70" s="2"/>
      <c r="I70" s="1" t="s">
        <v>393</v>
      </c>
      <c r="J70" s="1" t="s">
        <v>394</v>
      </c>
      <c r="K70" s="1" t="s">
        <v>25</v>
      </c>
      <c r="L70" s="3"/>
      <c r="M70" s="4" t="s">
        <v>26</v>
      </c>
      <c r="N70" s="3"/>
      <c r="O70" s="3"/>
      <c r="P70" s="3"/>
    </row>
    <row r="71" spans="1:16" ht="56" customHeight="1">
      <c r="A71" s="1" t="s">
        <v>395</v>
      </c>
      <c r="B71" s="1" t="s">
        <v>396</v>
      </c>
      <c r="C71" s="1" t="s">
        <v>397</v>
      </c>
      <c r="D71" s="1" t="s">
        <v>344</v>
      </c>
      <c r="E71" s="1" t="s">
        <v>398</v>
      </c>
      <c r="F71" s="1" t="s">
        <v>399</v>
      </c>
      <c r="G71" s="1" t="s">
        <v>346</v>
      </c>
      <c r="H71" s="2"/>
      <c r="I71" s="1" t="s">
        <v>400</v>
      </c>
      <c r="J71" s="1" t="s">
        <v>401</v>
      </c>
      <c r="K71" s="1" t="s">
        <v>25</v>
      </c>
      <c r="L71" s="3"/>
      <c r="M71" s="4" t="s">
        <v>26</v>
      </c>
      <c r="N71" s="3"/>
      <c r="O71" s="3"/>
      <c r="P71" s="3"/>
    </row>
  </sheetData>
  <conditionalFormatting sqref="M2:M71">
    <cfRule type="containsText" dxfId="0" priority="1" operator="containsText" text="done">
      <formula>NOT(ISERROR(SEARCH("done",M2)))</formula>
    </cfRule>
  </conditionalFormatting>
  <dataValidations count="1">
    <dataValidation type="list" allowBlank="1" showInputMessage="1" showErrorMessage="1" errorTitle="Estado inválido" error="Use pending, accepted, in_progress, done o dismissed." promptTitle="Estado de revisión" prompt="Seleccione un estado; no ejecuta ninguna acción externa." sqref="M2:M71">
      <formula1>"pending,accepted,in_progress,done,dismissed"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showGridLines="0" workbookViewId="0"/>
  </sheetViews>
  <sheetFormatPr defaultRowHeight="15"/>
  <cols>
    <col min="1" max="1" width="24.7109375" customWidth="1"/>
    <col min="2" max="2" width="110.7109375" customWidth="1"/>
  </cols>
  <sheetData>
    <row r="1" spans="1:2">
      <c r="A1" s="5" t="s">
        <v>402</v>
      </c>
      <c r="B1" s="5"/>
    </row>
    <row r="2" spans="1:2">
      <c r="A2" s="5"/>
      <c r="B2" s="5"/>
    </row>
    <row r="3" spans="1:2">
      <c r="A3" s="6" t="s">
        <v>403</v>
      </c>
      <c r="B3" s="6"/>
    </row>
    <row r="4" spans="1:2">
      <c r="A4" s="6"/>
      <c r="B4" s="6"/>
    </row>
    <row r="5" spans="1:2">
      <c r="A5" s="7" t="s">
        <v>404</v>
      </c>
      <c r="B5" s="1" t="s">
        <v>25</v>
      </c>
    </row>
    <row r="6" spans="1:2">
      <c r="A6" s="1" t="s">
        <v>405</v>
      </c>
      <c r="B6" s="1" t="s">
        <v>406</v>
      </c>
    </row>
    <row r="7" spans="1:2">
      <c r="A7" s="1" t="s">
        <v>407</v>
      </c>
      <c r="B7" s="1" t="s">
        <v>408</v>
      </c>
    </row>
    <row r="8" spans="1:2">
      <c r="A8" s="1" t="s">
        <v>409</v>
      </c>
      <c r="B8" s="1" t="s">
        <v>410</v>
      </c>
    </row>
    <row r="9" spans="1:2" ht="46" customHeight="1">
      <c r="A9" s="1" t="s">
        <v>411</v>
      </c>
      <c r="B9" s="1" t="s">
        <v>412</v>
      </c>
    </row>
    <row r="10" spans="1:2" ht="58" customHeight="1">
      <c r="A10" s="1" t="s">
        <v>413</v>
      </c>
      <c r="B10" s="1" t="s">
        <v>414</v>
      </c>
    </row>
    <row r="11" spans="1:2" ht="48" customHeight="1">
      <c r="A11" s="1" t="s">
        <v>415</v>
      </c>
      <c r="B11" s="1" t="s">
        <v>416</v>
      </c>
    </row>
    <row r="12" spans="1:2">
      <c r="A12" s="1" t="s">
        <v>417</v>
      </c>
      <c r="B12" s="1" t="s">
        <v>418</v>
      </c>
    </row>
    <row r="13" spans="1:2" ht="58" customHeight="1">
      <c r="A13" s="1" t="s">
        <v>419</v>
      </c>
      <c r="B13" s="1" t="s">
        <v>420</v>
      </c>
    </row>
    <row r="14" spans="1:2">
      <c r="A14" s="1" t="s">
        <v>421</v>
      </c>
      <c r="B14" s="1" t="s">
        <v>422</v>
      </c>
    </row>
  </sheetData>
  <mergeCells count="2">
    <mergeCell ref="A1:B2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Seguimiento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| Seguimiento de acciones</dc:title>
  <dc:subject>Revisión humana offline de decisiones del corte</dc:subject>
  <dc:creator>Taller Milenio Analytics</dc:creator>
  <dc:description>Entrega local; no ejecuta acciones de negocio.</dc:description>
  <cp:lastModifiedBy>Taller Milenio Analytics</cp:lastModifiedBy>
  <dcterms:created xsi:type="dcterms:W3CDTF">2026-09-23T00:58:37Z</dcterms:created>
  <dcterms:modified xsi:type="dcterms:W3CDTF">2026-09-23T00:58:37Z</dcterms:modified>
</cp:coreProperties>
</file>